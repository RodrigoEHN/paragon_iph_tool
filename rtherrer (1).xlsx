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0"/>
  <workbookPr/>
  <mc:AlternateContent xmlns:mc="http://schemas.openxmlformats.org/markup-compatibility/2006">
    <mc:Choice Requires="x15">
      <x15ac:absPath xmlns:x15ac="http://schemas.microsoft.com/office/spreadsheetml/2010/11/ac" url="https://amazon-my.sharepoint.com/personal/javimolr_amazon_com/Documents/PMP/"/>
    </mc:Choice>
  </mc:AlternateContent>
  <xr:revisionPtr revIDLastSave="0" documentId="8_{E1A09CC6-D40F-41FD-B0AE-C48F640C4BCE}" xr6:coauthVersionLast="47" xr6:coauthVersionMax="47" xr10:uidLastSave="{00000000-0000-0000-0000-000000000000}"/>
  <bookViews>
    <workbookView xWindow="-19310" yWindow="-2730" windowWidth="19420" windowHeight="10300" tabRatio="896" firstSheet="3" activeTab="3" xr2:uid="{00000000-000D-0000-FFFF-FFFF00000000}"/>
  </bookViews>
  <sheets>
    <sheet name="PMP Path" sheetId="15" r:id="rId1"/>
    <sheet name="POA- 4 weeks" sheetId="39" r:id="rId2"/>
    <sheet name="PIP ONE- 4 weeks" sheetId="41" r:id="rId3"/>
    <sheet name="PIP TWO- 4 weeks " sheetId="42" r:id="rId4"/>
    <sheet name="Sheet2" sheetId="19" state="hidden" r:id="rId5"/>
  </sheets>
  <definedNames>
    <definedName name="_xlnm.Print_Area" localSheetId="2">'PIP ONE- 4 weeks'!$A$1:$O$53</definedName>
    <definedName name="_xlnm.Print_Area" localSheetId="3">'PIP TWO- 4 weeks '!$A$1:$O$53</definedName>
    <definedName name="_xlnm.Print_Area" localSheetId="1">'POA- 4 weeks'!$A$1:$O$53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2" i="42" l="1"/>
  <c r="K17" i="42"/>
  <c r="K31" i="42" s="1"/>
  <c r="J17" i="42"/>
  <c r="J31" i="42" s="1"/>
  <c r="I17" i="42"/>
  <c r="I21" i="42" s="1"/>
  <c r="H17" i="42"/>
  <c r="H31" i="42" s="1"/>
  <c r="G17" i="42"/>
  <c r="G21" i="42" s="1"/>
  <c r="G26" i="42" s="1"/>
  <c r="F17" i="42"/>
  <c r="F21" i="42" s="1"/>
  <c r="E17" i="42"/>
  <c r="E26" i="42" s="1"/>
  <c r="D17" i="42"/>
  <c r="D31" i="42" s="1"/>
  <c r="C17" i="42"/>
  <c r="C31" i="42" s="1"/>
  <c r="C52" i="41"/>
  <c r="K17" i="41"/>
  <c r="K31" i="41" s="1"/>
  <c r="J17" i="41"/>
  <c r="J21" i="41" s="1"/>
  <c r="I17" i="41"/>
  <c r="I31" i="41" s="1"/>
  <c r="H17" i="41"/>
  <c r="H31" i="41" s="1"/>
  <c r="G17" i="41"/>
  <c r="G21" i="41" s="1"/>
  <c r="G26" i="41" s="1"/>
  <c r="F17" i="41"/>
  <c r="F21" i="41" s="1"/>
  <c r="E17" i="41"/>
  <c r="E26" i="41" s="1"/>
  <c r="D17" i="41"/>
  <c r="D31" i="41" s="1"/>
  <c r="C17" i="41"/>
  <c r="C31" i="41" s="1"/>
  <c r="C52" i="39"/>
  <c r="K17" i="39"/>
  <c r="K31" i="39" s="1"/>
  <c r="J17" i="39"/>
  <c r="J31" i="39" s="1"/>
  <c r="I17" i="39"/>
  <c r="I31" i="39" s="1"/>
  <c r="H17" i="39"/>
  <c r="H31" i="39" s="1"/>
  <c r="G17" i="39"/>
  <c r="G31" i="39" s="1"/>
  <c r="F17" i="39"/>
  <c r="F21" i="39" s="1"/>
  <c r="E17" i="39"/>
  <c r="E26" i="39" s="1"/>
  <c r="D17" i="39"/>
  <c r="D31" i="39" s="1"/>
  <c r="C17" i="39"/>
  <c r="C31" i="39" s="1"/>
  <c r="F31" i="41" l="1"/>
  <c r="G31" i="41"/>
  <c r="H21" i="39"/>
  <c r="F31" i="39"/>
  <c r="H21" i="42"/>
  <c r="H26" i="42"/>
  <c r="F26" i="41"/>
  <c r="F31" i="42"/>
  <c r="E31" i="41"/>
  <c r="G31" i="42"/>
  <c r="F26" i="42"/>
  <c r="E31" i="42"/>
  <c r="J21" i="42"/>
  <c r="I26" i="42"/>
  <c r="C21" i="42"/>
  <c r="K21" i="42"/>
  <c r="J26" i="42"/>
  <c r="I31" i="42"/>
  <c r="D21" i="42"/>
  <c r="C26" i="42"/>
  <c r="K26" i="42"/>
  <c r="E21" i="42"/>
  <c r="D26" i="42"/>
  <c r="I21" i="41"/>
  <c r="H26" i="41"/>
  <c r="I26" i="41"/>
  <c r="C21" i="41"/>
  <c r="K21" i="41"/>
  <c r="J26" i="41"/>
  <c r="H21" i="41"/>
  <c r="D21" i="41"/>
  <c r="C26" i="41"/>
  <c r="K26" i="41"/>
  <c r="J31" i="41"/>
  <c r="E21" i="41"/>
  <c r="D26" i="41"/>
  <c r="G21" i="39"/>
  <c r="G26" i="39" s="1"/>
  <c r="F26" i="39"/>
  <c r="E31" i="39"/>
  <c r="I21" i="39"/>
  <c r="H26" i="39"/>
  <c r="J21" i="39"/>
  <c r="I26" i="39"/>
  <c r="C21" i="39"/>
  <c r="K21" i="39"/>
  <c r="J26" i="39"/>
  <c r="D21" i="39"/>
  <c r="C26" i="39"/>
  <c r="K26" i="39"/>
  <c r="E21" i="39"/>
  <c r="D26"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tc={4809D7DD-6656-475A-9B5C-F306258CA5B9}</author>
  </authors>
  <commentList>
    <comment ref="J34" authorId="0" shapeId="0" xr:uid="{4809D7DD-6656-475A-9B5C-F306258CA5B9}">
      <text>
        <t>[Threaded comment]
Your version of Excel allows you to read this threaded comment; however, any edits to it will get removed if the file is opened in a newer version of Excel. Learn more: https://go.microsoft.com/fwlink/?linkid=870924
Comment:
    20000855756657 Appeal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tc={46A93563-D188-4631-B680-13B88B7CC7C5}</author>
  </authors>
  <commentList>
    <comment ref="G29" authorId="0" shapeId="0" xr:uid="{46A93563-D188-4631-B680-13B88B7CC7C5}">
      <text>
        <t>[Threaded comment]
Your version of Excel allows you to read this threaded comment; however, any edits to it will get removed if the file is opened in a newer version of Excel. Learn more: https://go.microsoft.com/fwlink/?linkid=870924
Comment:
    20000865202527: RPOed on 6th April for MDR ab. MDR instance on order id 112-7615515-0521059, different unit, LC MDR. Account is previous warned for f3 ab. F3 orders are mapped in MFN, as per the SOP we should take next enforcement "The account is warned for MDR, FLR, RR, DNR, or PDA" Here account is warned for f3, incorrect RPO.</t>
      </text>
    </comment>
  </commentList>
</comments>
</file>

<file path=xl/sharedStrings.xml><?xml version="1.0" encoding="utf-8"?>
<sst xmlns="http://schemas.openxmlformats.org/spreadsheetml/2006/main" count="494" uniqueCount="180">
  <si>
    <t>If an employee successfully passes their POA/PIP they should remain on a probation period durint the next 2 to 4 weekd to ensure sustained improvement.</t>
  </si>
  <si>
    <t xml:space="preserve">Plan De Acción </t>
  </si>
  <si>
    <t xml:space="preserve">Investigador </t>
  </si>
  <si>
    <t>Rodrigo Herrera</t>
  </si>
  <si>
    <t>Inicio</t>
  </si>
  <si>
    <t>15 de Febrero de 2026</t>
  </si>
  <si>
    <t>Gerente directo</t>
  </si>
  <si>
    <t>Javier Molina</t>
  </si>
  <si>
    <t>Final</t>
  </si>
  <si>
    <t>14 de Marzo de 2026</t>
  </si>
  <si>
    <t>Áreas de mejora</t>
  </si>
  <si>
    <r>
      <rPr>
        <b/>
        <u/>
        <sz val="12"/>
        <color theme="2" tint="-0.89999084444715716"/>
        <rFont val="Calibri"/>
        <family val="2"/>
        <scheme val="minor"/>
      </rPr>
      <t>Investigaciones por hora:</t>
    </r>
    <r>
      <rPr>
        <sz val="12"/>
        <color theme="2" tint="-0.89999084444715716"/>
        <rFont val="Calibri"/>
        <family val="2"/>
        <scheme val="minor"/>
      </rPr>
      <t xml:space="preserve"> Cantidad de investigaciones realizadas de manera diaria/ semanal de acuerdo a los requerimientos especificos de la compañia. 
</t>
    </r>
    <r>
      <rPr>
        <b/>
        <u/>
        <sz val="12"/>
        <color theme="2" tint="-0.89999084444715716"/>
        <rFont val="Calibri"/>
        <family val="2"/>
        <scheme val="minor"/>
      </rPr>
      <t>Cumplimiento de Horario</t>
    </r>
    <r>
      <rPr>
        <sz val="12"/>
        <color theme="2" tint="-0.89999084444715716"/>
        <rFont val="Calibri"/>
        <family val="2"/>
        <scheme val="minor"/>
      </rPr>
      <t xml:space="preserve"> : Uso de tiempo apropiado para efectuar la investigacion de acuerdo a las metricas establecidas para el tipo de investigacion y para el marketplace en que el investigador se encuentra trabajando. 
</t>
    </r>
    <r>
      <rPr>
        <b/>
        <u/>
        <sz val="12"/>
        <color theme="2" tint="-0.89999084444715716"/>
        <rFont val="Calibri"/>
        <family val="2"/>
        <scheme val="minor"/>
      </rPr>
      <t>NPT:</t>
    </r>
    <r>
      <rPr>
        <sz val="12"/>
        <color theme="2" tint="-0.89999084444715716"/>
        <rFont val="Calibri"/>
        <family val="2"/>
        <scheme val="minor"/>
      </rPr>
      <t xml:space="preserve"> Tiempo no productivo del investigador asignado por su jefe inmediato.
</t>
    </r>
    <r>
      <rPr>
        <b/>
        <u/>
        <sz val="12"/>
        <color theme="2" tint="-0.89999084444715716"/>
        <rFont val="Calibri"/>
        <family val="2"/>
        <scheme val="minor"/>
      </rPr>
      <t>Plataformas de trabajo</t>
    </r>
    <r>
      <rPr>
        <sz val="12"/>
        <color theme="2" tint="-0.89999084444715716"/>
        <rFont val="Calibri"/>
        <family val="2"/>
        <scheme val="minor"/>
      </rPr>
      <t xml:space="preserve">: </t>
    </r>
    <r>
      <rPr>
        <sz val="12"/>
        <rFont val="Calibri"/>
        <family val="2"/>
        <scheme val="minor"/>
      </rPr>
      <t xml:space="preserve">PARAGON, GeoFence, Paragon reports, manualmente traqueo investigacions resueltas 
</t>
    </r>
    <r>
      <rPr>
        <b/>
        <u/>
        <sz val="12"/>
        <color theme="2" tint="-0.89999084444715716"/>
        <rFont val="Calibri"/>
        <family val="2"/>
        <scheme val="minor"/>
      </rPr>
      <t xml:space="preserve">Componetes de Calidad: </t>
    </r>
    <r>
      <rPr>
        <sz val="12"/>
        <rFont val="Calibri"/>
        <family val="2"/>
        <scheme val="minor"/>
      </rPr>
      <t xml:space="preserve">Defectos seran medidos semanalas </t>
    </r>
  </si>
  <si>
    <t xml:space="preserve">Objetivo y Compromisos </t>
  </si>
  <si>
    <r>
      <rPr>
        <b/>
        <u/>
        <sz val="12"/>
        <color theme="2" tint="-0.89999084444715716"/>
        <rFont val="Calibri"/>
        <family val="2"/>
        <scheme val="minor"/>
      </rPr>
      <t>Objectivo:</t>
    </r>
    <r>
      <rPr>
        <sz val="12"/>
        <color theme="2" tint="-0.89999084444715716"/>
        <rFont val="Calibri"/>
        <family val="2"/>
        <scheme val="minor"/>
      </rPr>
      <t xml:space="preserve"> Alcanzar la cantidad semanal y mensual de investigaciones de acuerdo a los objetivos establecidos por la unidad de negocio, este plan de mejora está enfocado a que maximice su productividad y su tiempo efectivamente
</t>
    </r>
    <r>
      <rPr>
        <b/>
        <u/>
        <sz val="12"/>
        <color theme="2" tint="-0.89999084444715716"/>
        <rFont val="Calibri"/>
        <family val="2"/>
        <scheme val="minor"/>
      </rPr>
      <t>Compromiso</t>
    </r>
    <r>
      <rPr>
        <b/>
        <sz val="12"/>
        <color theme="2" tint="-0.89999084444715716"/>
        <rFont val="Calibri"/>
        <family val="2"/>
        <scheme val="minor"/>
      </rPr>
      <t>:</t>
    </r>
    <r>
      <rPr>
        <sz val="12"/>
        <color theme="2" tint="-0.89999084444715716"/>
        <rFont val="Calibri"/>
        <family val="2"/>
        <scheme val="minor"/>
      </rPr>
      <t xml:space="preserve"> El investigador se compromete a cumplir con el plan de mejora, sus objetivos y actividades de una buena manera, apertura a la retroalimentación y voluntad para mejorar de acuerdo a la propuesta del gerente</t>
    </r>
  </si>
  <si>
    <t>Medidores de Desempeño Plan de Acción
Ultimas 4 Semanas</t>
  </si>
  <si>
    <t xml:space="preserve">Metas </t>
  </si>
  <si>
    <t>L4-L5 revision de resultado</t>
  </si>
  <si>
    <t>Investigaciones por hora combinado (IPH)</t>
  </si>
  <si>
    <t>Semana/Week 3</t>
  </si>
  <si>
    <t>Semana/Week 4</t>
  </si>
  <si>
    <t>Semana/Week 5</t>
  </si>
  <si>
    <t>Semana/Week 6</t>
  </si>
  <si>
    <t>Semana/Week 7</t>
  </si>
  <si>
    <t>Semana/Week 8</t>
  </si>
  <si>
    <t>Semana/Week 9</t>
  </si>
  <si>
    <t>Semana/Week 10</t>
  </si>
  <si>
    <t>Semana/Week 11</t>
  </si>
  <si>
    <t>Week  26/27</t>
  </si>
  <si>
    <r>
      <t xml:space="preserve">Meta de Investigaciones Combinadas Por Hora </t>
    </r>
    <r>
      <rPr>
        <b/>
        <sz val="11"/>
        <color theme="1"/>
        <rFont val="Calibri"/>
        <family val="2"/>
        <scheme val="minor"/>
      </rPr>
      <t>(IPH)</t>
    </r>
  </si>
  <si>
    <t>Notas de resumen</t>
  </si>
  <si>
    <r>
      <t xml:space="preserve">Actual de Investigaciones Combinadas por Hora </t>
    </r>
    <r>
      <rPr>
        <b/>
        <sz val="11"/>
        <color theme="1"/>
        <rFont val="Calibri"/>
        <family val="2"/>
        <scheme val="minor"/>
      </rPr>
      <t>(IPH)</t>
    </r>
  </si>
  <si>
    <r>
      <t>Resultado Semanal</t>
    </r>
    <r>
      <rPr>
        <b/>
        <sz val="11"/>
        <color theme="1"/>
        <rFont val="Calibri"/>
        <family val="2"/>
        <scheme val="minor"/>
      </rPr>
      <t>(Cumple/No Cumple)</t>
    </r>
  </si>
  <si>
    <t>No Cumple</t>
  </si>
  <si>
    <t>Cumple</t>
  </si>
  <si>
    <t>Componentes de Calidad RR</t>
  </si>
  <si>
    <r>
      <t xml:space="preserve">Meta de Porcentage de Investigaciones Reversadas </t>
    </r>
    <r>
      <rPr>
        <b/>
        <sz val="11"/>
        <color theme="1"/>
        <rFont val="Calibri"/>
        <family val="2"/>
        <scheme val="minor"/>
      </rPr>
      <t>(RR Target)</t>
    </r>
  </si>
  <si>
    <r>
      <t xml:space="preserve">Porcentage de Investigaciones Reversadas Obtenido </t>
    </r>
    <r>
      <rPr>
        <b/>
        <sz val="11"/>
        <color theme="1"/>
        <rFont val="Calibri"/>
        <family val="2"/>
        <scheme val="minor"/>
      </rPr>
      <t>(RR Actual)</t>
    </r>
  </si>
  <si>
    <t>Controllable defects</t>
  </si>
  <si>
    <t>Componentes de Calidad MRR</t>
  </si>
  <si>
    <r>
      <t xml:space="preserve">Meta de Porcentaje de Restauracion no Realizada </t>
    </r>
    <r>
      <rPr>
        <b/>
        <sz val="11"/>
        <color theme="1"/>
        <rFont val="Calibri"/>
        <family val="2"/>
        <scheme val="minor"/>
      </rPr>
      <t>(MRR Target)</t>
    </r>
  </si>
  <si>
    <r>
      <t xml:space="preserve">Porcentaje de Restauracion No Realizada Obtenido </t>
    </r>
    <r>
      <rPr>
        <b/>
        <sz val="11"/>
        <color theme="1"/>
        <rFont val="Calibri"/>
        <family val="2"/>
        <scheme val="minor"/>
      </rPr>
      <t>(MRR Actual)</t>
    </r>
  </si>
  <si>
    <t>Componentes de Calidad CRAR</t>
  </si>
  <si>
    <r>
      <t xml:space="preserve">Meta de Porcentage de Precision de Respuesta al Cliente </t>
    </r>
    <r>
      <rPr>
        <b/>
        <sz val="11"/>
        <color theme="1"/>
        <rFont val="Calibri"/>
        <family val="2"/>
        <scheme val="minor"/>
      </rPr>
      <t>(CRAR Target)</t>
    </r>
  </si>
  <si>
    <r>
      <t xml:space="preserve">Porcentage de Precision de Respuesta al Cliente Obtenido </t>
    </r>
    <r>
      <rPr>
        <b/>
        <sz val="11"/>
        <color theme="1"/>
        <rFont val="Calibri"/>
        <family val="2"/>
        <scheme val="minor"/>
      </rPr>
      <t xml:space="preserve">(CRAR Actual) </t>
    </r>
  </si>
  <si>
    <t>No Data</t>
  </si>
  <si>
    <t xml:space="preserve"> Resultados de Investigaciones por Hora (IPH)  *resultados seran revisados semanales </t>
  </si>
  <si>
    <t>Acciones por parte del Investigator</t>
  </si>
  <si>
    <t>Acciones por parte del Gerente</t>
  </si>
  <si>
    <t xml:space="preserve"> 1)</t>
  </si>
  <si>
    <t>El investigador informara de manera inmediata si tuviese algun problema para efectuar investigaciones , siendo problemas con la plataforma Paragon o con cualquier duda que puedan tener acerca del caso.</t>
  </si>
  <si>
    <t>El gerente se compromete a dar visibilidad y revisar los resultados obtenidos de forma semanal.</t>
  </si>
  <si>
    <t>2)</t>
  </si>
  <si>
    <t>El investigador se compromete a dejar claras cuales son las posibles faltas de conocimiento que puedan estar afectando su rapidez y calidad en la toma de decisiones</t>
  </si>
  <si>
    <t>El gerente se compromete a darle la prioridad necesaria a este plan y sus actividades con el fin de brindar la ayuda requerida para asegurar su exito</t>
  </si>
  <si>
    <t>3)</t>
  </si>
  <si>
    <t>El investigador se compromete a cumplir con los objetivos y metas definidos en el documento de este plan de acción. De no lograrse los objetivos de manera satisfactoria, se procederá automáticamente a la siguiente etapa en el proceso de planes de mejora (ver detalle al reverso de este documento). Se considerará el plan como concluido exitosamente al alcanzarse el objetivo cada de indicador de desempeño para todas las semanas contempladas.</t>
  </si>
  <si>
    <t>El gerente se compromete a dar visibilidad y revisar los resultados obtenidos por el investigador de forma semanal o en el momento que lo solicite el investigador. En caso de no poder brindar los datos por dificultades en la plataforma, esto debera de ser comunicado al investigador.</t>
  </si>
  <si>
    <t>4)</t>
  </si>
  <si>
    <t>El investigador se compromete a no solo concentrarse en la metrica de productividad (IPH) si no tambien en las de Calidad considerandose todas como las metricas establecidas para su puesto</t>
  </si>
  <si>
    <t>El gerente le brindara al investigador visibilidad con respecto a las metricas como un todo de manera semanal para ir midiendo el progreso de cada una de ellas.</t>
  </si>
  <si>
    <t>5)</t>
  </si>
  <si>
    <t>El investigador se compromete a evitar cualquier distraccion que pueda afectar su concentracion en este plan. Cumpliendo con nuestras politicas segun el uso correcto de internet y uso de celular en produccion segun el Articulo 3 de Nuestras politicas.</t>
  </si>
  <si>
    <t>El Gerente se compromete a realizar un seguimiento detallado semana por semana dando la retroalimentacion necesaria para alcanzar exitosamente el plan.</t>
  </si>
  <si>
    <t xml:space="preserve">Evaluacion de defectos de calidad </t>
  </si>
  <si>
    <t>Se llevaran a acabo sessiones de retroalimentacion semanal con el Gerente o mentor para revisar los defectos recibidos para brindar recomendaciones de mejora en esas areas donde el proceso no es claro</t>
  </si>
  <si>
    <t>El gerente asignara el tiempo no productivo necesario para que el investigador pueda revisar completamente los SOP (Guia de trabajo) que esten dudosos y dejar claridad en el procedimiento</t>
  </si>
  <si>
    <t xml:space="preserve"> 2)</t>
  </si>
  <si>
    <t>El investigador realizara un analisis de todos los casos enviados por el supervisor para identificar areas de desconocimiento de investigaciones especificas</t>
  </si>
  <si>
    <t xml:space="preserve">Se llevaran sessiones de calibracion con el investigator y equipo cuando sea necesario en reuniones  grupales o individuales. </t>
  </si>
  <si>
    <t>Se llevaran a acabo revisiones de defectos semanales. Si se dan defectos recurrentes,  que sigan impactando nuestros clientes, acciones addicionales se estaran revisando.</t>
  </si>
  <si>
    <t>Se llevaran a acabo auditorias despues de revisado el defecto.</t>
  </si>
  <si>
    <t>Tiempo efectivo en producción (EPT)</t>
  </si>
  <si>
    <t>El investigador se compromete a utilizar y cumplir adecuadamente sus tiempos no productivos (recesos, almuerzos, reuniones, ect)</t>
  </si>
  <si>
    <t>El gerente se compromete a monitorear que los tiempos productivos con el investigator se usen efectivamente</t>
  </si>
  <si>
    <t>Investigator</t>
  </si>
  <si>
    <t>Manager</t>
  </si>
  <si>
    <t>29 de Marzo de 2026</t>
  </si>
  <si>
    <t>25 de Abril de 2026</t>
  </si>
  <si>
    <t>Semana/Week 12</t>
  </si>
  <si>
    <t>Semana/Week 13</t>
  </si>
  <si>
    <t>Semana/Week 14</t>
  </si>
  <si>
    <t>Semana/Week 15</t>
  </si>
  <si>
    <t>Semana/Week 16</t>
  </si>
  <si>
    <t>Semana/Week 17</t>
  </si>
  <si>
    <t>Week  19</t>
  </si>
  <si>
    <t>No cumple</t>
  </si>
  <si>
    <t>10 de mayo de 2026</t>
  </si>
  <si>
    <t>6 de junio de 2026</t>
  </si>
  <si>
    <t>Semana/Week 18</t>
  </si>
  <si>
    <t>Semana/Week 19</t>
  </si>
  <si>
    <t>Semana/Week 20</t>
  </si>
  <si>
    <t>Semana/Week 21</t>
  </si>
  <si>
    <t>Semana/Week 22</t>
  </si>
  <si>
    <t>Semana/Week 23</t>
  </si>
  <si>
    <t>No info yet</t>
  </si>
  <si>
    <t>Semana/Week 1</t>
  </si>
  <si>
    <t>28 diciembre 2025 - 03 enero 2026</t>
  </si>
  <si>
    <t>Semana/Week 2</t>
  </si>
  <si>
    <t>04 enero 2026 - 10 enero 2026</t>
  </si>
  <si>
    <t>11 enero 2026 - 17 enero 2026</t>
  </si>
  <si>
    <t>18 enero 2026 - 24 enero 2026</t>
  </si>
  <si>
    <t>25 enero 2026 - 31 enero 2026</t>
  </si>
  <si>
    <t>01 febrero 2026 - 07 febrero 2026</t>
  </si>
  <si>
    <t>08 febrero 2026 - 14 febrero 2026</t>
  </si>
  <si>
    <t>15 febrero 2026 - 21 febrero 2026</t>
  </si>
  <si>
    <t>22 febrero 2026 - 28 febrero 2026</t>
  </si>
  <si>
    <t>01 marzo 2026 - 07 marzo 2026</t>
  </si>
  <si>
    <t>08 marzo 2026 - 14 marzo 2026</t>
  </si>
  <si>
    <t>15 marzo 2026 - 21 marzo 2026</t>
  </si>
  <si>
    <t>22 marzo 2026 - 28 marzo 2026</t>
  </si>
  <si>
    <t>29 marzo 2026 - 04 abril 2026</t>
  </si>
  <si>
    <t>05 abril 2026 - 11 abril 2026</t>
  </si>
  <si>
    <t>12 abril 2026 - 18 abril 2026</t>
  </si>
  <si>
    <t>19 abril 2026 - 25 abril 2026</t>
  </si>
  <si>
    <t>26 abril 2026 - 02 mayo 2026</t>
  </si>
  <si>
    <t>03 mayo 2026 - 09 mayo 2026</t>
  </si>
  <si>
    <t>10 mayo 2026 - 16 mayo 2026</t>
  </si>
  <si>
    <t>17 mayo 2026 - 23 mayo 2026</t>
  </si>
  <si>
    <t>24 mayo 2026 - 30 mayo 2026</t>
  </si>
  <si>
    <t>31 mayo 2026 - 06 junio 2026</t>
  </si>
  <si>
    <t>Semana/Week 24</t>
  </si>
  <si>
    <t>07 junio 2026 - 13 junio 2026</t>
  </si>
  <si>
    <t>Semana/Week 25</t>
  </si>
  <si>
    <t>14 junio 2026 - 20 junio 2026</t>
  </si>
  <si>
    <t>Semana/Week 26</t>
  </si>
  <si>
    <t>21 junio 2026 - 27 junio 2026</t>
  </si>
  <si>
    <t>Semana/Week 27</t>
  </si>
  <si>
    <t>28 junio 2026 - 04 julio 2026</t>
  </si>
  <si>
    <t>Semana/Week 28</t>
  </si>
  <si>
    <t>05 julio 2026 - 11 julio 2026</t>
  </si>
  <si>
    <t>Semana/Week 29</t>
  </si>
  <si>
    <t>12 julio 2026 - 18 julio 2026</t>
  </si>
  <si>
    <t>Semana/Week 30</t>
  </si>
  <si>
    <t>19 julio 2026 - 25 julio 2026</t>
  </si>
  <si>
    <t>Semana/Week 31</t>
  </si>
  <si>
    <t>26 julio 2026 - 01 agosto 2026</t>
  </si>
  <si>
    <t>Semana/Week 32</t>
  </si>
  <si>
    <t>02 agosto 2026 - 08 agosto 2026</t>
  </si>
  <si>
    <t>Semana/Week 33</t>
  </si>
  <si>
    <t>09 agosto 2026 - 15 agosto 2026</t>
  </si>
  <si>
    <t>Semana/Week 34</t>
  </si>
  <si>
    <t>16 agosto 2026 - 22 agosto 2026</t>
  </si>
  <si>
    <t>Semana/Week 35</t>
  </si>
  <si>
    <t>23 agosto 2026 - 29 agosto 2026</t>
  </si>
  <si>
    <t>Semana/Week 36</t>
  </si>
  <si>
    <t>30 agosto 2026 - 05 septiembre 2026</t>
  </si>
  <si>
    <t>Semana/Week 37</t>
  </si>
  <si>
    <t>06 septiembre 2026 - 12 septiembre 2026</t>
  </si>
  <si>
    <t>Semana/Week 38</t>
  </si>
  <si>
    <t>13 septiembre 2026 - 19 septiembre 2026</t>
  </si>
  <si>
    <t>Semana/Week 39</t>
  </si>
  <si>
    <t>20 septiembre 2026 - 26 septiembre 2026</t>
  </si>
  <si>
    <t>Semana/Week 40</t>
  </si>
  <si>
    <t>27 septiembre 2026 - 03 octubre 2026</t>
  </si>
  <si>
    <t>Semana/Week 41</t>
  </si>
  <si>
    <t>04 octubre 2026 - 10 octubre 2026</t>
  </si>
  <si>
    <t>Semana/Week 42</t>
  </si>
  <si>
    <t>11 octubre 2026 - 17 octubre 2026</t>
  </si>
  <si>
    <t>Semana/Week 43</t>
  </si>
  <si>
    <t>18 octubre 2026 - 24 octubre 2026</t>
  </si>
  <si>
    <t>Semana/Week 44</t>
  </si>
  <si>
    <t>25 octubre 2026 - 31 octubre 2026</t>
  </si>
  <si>
    <t>Semana/Week 45</t>
  </si>
  <si>
    <t>01 noviembre 2026 - 07 noviembre 2026</t>
  </si>
  <si>
    <t>Semana/Week 46</t>
  </si>
  <si>
    <t>08 noviembre 2026 - 14 noviembre 2026</t>
  </si>
  <si>
    <t>Semana/Week 47</t>
  </si>
  <si>
    <t>15 noviembre 2026 - 21 noviembre 2026</t>
  </si>
  <si>
    <t>Semana/Week 48</t>
  </si>
  <si>
    <t>22 noviembre 2026 - 28 noviembre 2026</t>
  </si>
  <si>
    <t>Semana/Week 49</t>
  </si>
  <si>
    <t>29 noviembre 2026 - 05 diciembre 2026</t>
  </si>
  <si>
    <t>Semana/Week 50</t>
  </si>
  <si>
    <t>06 diciembre 2026 - 12 diciembre 2026</t>
  </si>
  <si>
    <t>Semana/Week 51</t>
  </si>
  <si>
    <t>13 diciembre 2026 - 19 diciembre 2026</t>
  </si>
  <si>
    <t>Semana/Week 52</t>
  </si>
  <si>
    <t>20 diciembre 2026 - 26 diciembre 2026</t>
  </si>
  <si>
    <t>Semana/Week 53</t>
  </si>
  <si>
    <t>27 diciembre 2026 - 02 enero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</si>
</sst>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font>
      <sz val="11"/>
      <color theme="1"/>
      <name val="Calibri"/>
      <family val="2"/>
      <scheme val="minor"/>
    </font>
    <font>
      <sz val="12"/>
      <color theme="1"/>
      <name val="Calibri"/>
      <family val="2"/>
      <scheme val="minor"/>
    </font>
    <font>
      <b/>
      <sz val="12"/>
      <color theme="2" tint="-0.89999084444715716"/>
      <name val="Calibri"/>
      <family val="2"/>
      <scheme val="minor"/>
    </font>
    <font>
      <sz val="12"/>
      <color theme="2" tint="-0.89999084444715716"/>
      <name val="Calibri"/>
      <family val="2"/>
      <scheme val="minor"/>
    </font>
    <font>
      <b/>
      <u/>
      <sz val="12"/>
      <color theme="2" tint="-0.89999084444715716"/>
      <name val="Calibri"/>
      <family val="2"/>
      <scheme val="minor"/>
    </font>
    <font>
      <sz val="12"/>
      <color theme="0"/>
      <name val="Calibri"/>
      <family val="2"/>
      <scheme val="minor"/>
    </font>
    <font>
      <b/>
      <sz val="12"/>
      <color theme="1"/>
      <name val="Calibri"/>
      <family val="2"/>
      <scheme val="minor"/>
    </font>
    <font>
      <sz val="12"/>
      <name val="Calibri"/>
      <family val="2"/>
      <scheme val="minor"/>
    </font>
    <font>
      <i/>
      <sz val="12"/>
      <color theme="2" tint="-0.89999084444715716"/>
      <name val="Calibri"/>
      <family val="2"/>
      <scheme val="minor"/>
    </font>
    <font>
      <sz val="8"/>
      <name val="Calibri"/>
      <family val="2"/>
      <scheme val="minor"/>
    </font>
    <font>
      <b/>
      <sz val="11"/>
      <color theme="1"/>
      <name val="Calibri"/>
      <family val="2"/>
      <scheme val="minor"/>
    </font>
    <font>
      <b/>
      <sz val="12"/>
      <color theme="0"/>
      <name val="Calibri"/>
      <family val="2"/>
      <scheme val="minor"/>
    </font>
    <font>
      <sz val="11"/>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theme="3" tint="-0.499984740745262"/>
        <bgColor indexed="64"/>
      </patternFill>
    </fill>
    <fill>
      <patternFill patternType="solid">
        <fgColor theme="2" tint="-0.749992370372631"/>
        <bgColor indexed="64"/>
      </patternFill>
    </fill>
  </fills>
  <borders count="3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double">
        <color indexed="64"/>
      </top>
      <bottom/>
      <diagonal/>
    </border>
    <border>
      <left/>
      <right style="medium">
        <color indexed="64"/>
      </right>
      <top style="double">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top/>
      <bottom style="thin">
        <color indexed="64"/>
      </bottom>
      <diagonal/>
    </border>
    <border>
      <left/>
      <right/>
      <top style="medium">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thin">
        <color indexed="64"/>
      </left>
      <right/>
      <top style="medium">
        <color indexed="64"/>
      </top>
      <bottom style="thin">
        <color indexed="64"/>
      </bottom>
      <diagonal/>
    </border>
    <border>
      <left/>
      <right style="medium">
        <color indexed="64"/>
      </right>
      <top style="thin">
        <color indexed="64"/>
      </top>
      <bottom/>
      <diagonal/>
    </border>
    <border>
      <left/>
      <right/>
      <top/>
      <bottom style="double">
        <color indexed="64"/>
      </bottom>
      <diagonal/>
    </border>
    <border>
      <left/>
      <right style="medium">
        <color indexed="64"/>
      </right>
      <top/>
      <bottom style="double">
        <color indexed="64"/>
      </bottom>
      <diagonal/>
    </border>
    <border>
      <left style="medium">
        <color indexed="64"/>
      </left>
      <right/>
      <top style="thin">
        <color indexed="64"/>
      </top>
      <bottom/>
      <diagonal/>
    </border>
    <border>
      <left style="medium">
        <color indexed="64"/>
      </left>
      <right/>
      <top/>
      <bottom style="thin">
        <color indexed="64"/>
      </bottom>
      <diagonal/>
    </border>
  </borders>
  <cellStyleXfs count="2">
    <xf numFmtId="0" fontId="0" fillId="0" borderId="0"/>
    <xf numFmtId="9" fontId="12" fillId="0" borderId="0" applyFont="0" applyFill="0" applyBorder="0" applyAlignment="0" applyProtection="0"/>
  </cellStyleXfs>
  <cellXfs count="146">
    <xf numFmtId="0" fontId="0" fillId="0" borderId="0" xfId="0"/>
    <xf numFmtId="0" fontId="2" fillId="2" borderId="7" xfId="0" applyFont="1" applyFill="1" applyBorder="1" applyAlignment="1" applyProtection="1">
      <alignment horizontal="left" vertical="center"/>
      <protection locked="0"/>
    </xf>
    <xf numFmtId="0" fontId="2" fillId="2" borderId="0" xfId="0" applyFont="1" applyFill="1" applyAlignment="1" applyProtection="1">
      <alignment horizontal="left" vertical="center"/>
      <protection locked="0"/>
    </xf>
    <xf numFmtId="0" fontId="3" fillId="2" borderId="0" xfId="0" applyFont="1" applyFill="1" applyAlignment="1" applyProtection="1">
      <alignment horizontal="center" vertical="center"/>
      <protection locked="0"/>
    </xf>
    <xf numFmtId="0" fontId="2" fillId="2" borderId="11" xfId="0" applyFont="1" applyFill="1" applyBorder="1" applyAlignment="1" applyProtection="1">
      <alignment horizontal="center" vertical="center"/>
      <protection locked="0"/>
    </xf>
    <xf numFmtId="0" fontId="3" fillId="2" borderId="7"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3" fillId="2" borderId="4" xfId="0" applyFont="1" applyFill="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5" xfId="0" applyFont="1" applyFill="1" applyBorder="1" applyAlignment="1" applyProtection="1">
      <alignment vertical="top"/>
      <protection locked="0"/>
    </xf>
    <xf numFmtId="0" fontId="3" fillId="2" borderId="6" xfId="0" applyFont="1" applyFill="1" applyBorder="1" applyAlignment="1" applyProtection="1">
      <alignment vertical="top"/>
      <protection locked="0"/>
    </xf>
    <xf numFmtId="0" fontId="1" fillId="0" borderId="0" xfId="0" applyFont="1"/>
    <xf numFmtId="0" fontId="3" fillId="2" borderId="1" xfId="0" applyFont="1" applyFill="1" applyBorder="1" applyAlignment="1" applyProtection="1">
      <alignment horizontal="center" vertical="center"/>
      <protection locked="0"/>
    </xf>
    <xf numFmtId="0" fontId="3" fillId="2" borderId="2" xfId="0" applyFont="1" applyFill="1" applyBorder="1" applyAlignment="1" applyProtection="1">
      <alignment horizontal="center" vertical="center"/>
      <protection locked="0"/>
    </xf>
    <xf numFmtId="0" fontId="3" fillId="2" borderId="3" xfId="0" applyFont="1" applyFill="1" applyBorder="1" applyAlignment="1" applyProtection="1">
      <alignment horizontal="center" vertical="center"/>
      <protection locked="0"/>
    </xf>
    <xf numFmtId="0" fontId="1" fillId="0" borderId="11" xfId="0" applyFont="1" applyBorder="1"/>
    <xf numFmtId="9" fontId="6" fillId="3" borderId="19" xfId="0" applyNumberFormat="1" applyFont="1" applyFill="1" applyBorder="1" applyAlignment="1">
      <alignment horizontal="center" vertical="center"/>
    </xf>
    <xf numFmtId="0" fontId="1" fillId="0" borderId="12" xfId="0" applyFont="1" applyBorder="1"/>
    <xf numFmtId="0" fontId="1" fillId="0" borderId="0" xfId="0" applyFont="1" applyAlignment="1">
      <alignment horizontal="center" vertical="center"/>
    </xf>
    <xf numFmtId="0" fontId="6" fillId="2" borderId="0" xfId="0" applyFont="1" applyFill="1" applyAlignment="1">
      <alignment vertical="top"/>
    </xf>
    <xf numFmtId="0" fontId="6" fillId="2" borderId="7" xfId="0" applyFont="1" applyFill="1" applyBorder="1" applyAlignment="1">
      <alignment vertical="top"/>
    </xf>
    <xf numFmtId="0" fontId="6" fillId="2" borderId="4" xfId="0" applyFont="1" applyFill="1" applyBorder="1" applyAlignment="1">
      <alignment vertical="top"/>
    </xf>
    <xf numFmtId="0" fontId="1" fillId="0" borderId="5" xfId="0" applyFont="1" applyBorder="1" applyAlignment="1">
      <alignment horizontal="center" vertical="center"/>
    </xf>
    <xf numFmtId="0" fontId="6" fillId="2" borderId="5" xfId="0" applyFont="1" applyFill="1" applyBorder="1" applyAlignment="1">
      <alignment vertical="top"/>
    </xf>
    <xf numFmtId="0" fontId="1" fillId="0" borderId="0" xfId="0" applyFont="1" applyAlignment="1">
      <alignment horizontal="left" vertical="top" wrapText="1"/>
    </xf>
    <xf numFmtId="0" fontId="1" fillId="0" borderId="5" xfId="0" applyFont="1" applyBorder="1" applyAlignment="1">
      <alignment horizontal="left" vertical="top" wrapText="1"/>
    </xf>
    <xf numFmtId="0" fontId="6" fillId="2" borderId="12" xfId="0" applyFont="1" applyFill="1" applyBorder="1" applyAlignment="1">
      <alignment vertical="top"/>
    </xf>
    <xf numFmtId="0" fontId="6" fillId="2" borderId="13" xfId="0" applyFont="1" applyFill="1" applyBorder="1" applyAlignment="1">
      <alignment horizontal="left" vertical="center"/>
    </xf>
    <xf numFmtId="0" fontId="6" fillId="2" borderId="13" xfId="0" applyFont="1" applyFill="1" applyBorder="1" applyAlignment="1">
      <alignment horizontal="left" vertical="top"/>
    </xf>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3" xfId="0" applyFont="1" applyFill="1" applyBorder="1" applyAlignment="1">
      <alignment vertical="center"/>
    </xf>
    <xf numFmtId="0" fontId="3" fillId="2" borderId="7" xfId="0" applyFont="1" applyFill="1" applyBorder="1" applyAlignment="1">
      <alignment vertical="center"/>
    </xf>
    <xf numFmtId="0" fontId="3" fillId="2" borderId="0" xfId="0" applyFont="1" applyFill="1" applyAlignment="1">
      <alignment vertical="center"/>
    </xf>
    <xf numFmtId="0" fontId="8" fillId="2" borderId="7" xfId="0" applyFont="1" applyFill="1" applyBorder="1" applyAlignment="1">
      <alignment vertical="top"/>
    </xf>
    <xf numFmtId="0" fontId="1" fillId="2" borderId="0" xfId="0" applyFont="1" applyFill="1"/>
    <xf numFmtId="0" fontId="8" fillId="2" borderId="0" xfId="0" applyFont="1" applyFill="1" applyAlignment="1">
      <alignment vertical="center"/>
    </xf>
    <xf numFmtId="0" fontId="8" fillId="2" borderId="4" xfId="0" applyFont="1" applyFill="1" applyBorder="1" applyAlignment="1">
      <alignment vertical="top"/>
    </xf>
    <xf numFmtId="0" fontId="1" fillId="2" borderId="5" xfId="0" applyFont="1" applyFill="1" applyBorder="1"/>
    <xf numFmtId="0" fontId="8" fillId="2" borderId="5" xfId="0" applyFont="1" applyFill="1" applyBorder="1" applyAlignment="1">
      <alignment vertical="center"/>
    </xf>
    <xf numFmtId="0" fontId="0" fillId="2" borderId="0" xfId="0" applyFill="1"/>
    <xf numFmtId="0" fontId="1" fillId="2" borderId="13" xfId="0" applyFont="1" applyFill="1" applyBorder="1" applyAlignment="1">
      <alignment horizontal="left" vertical="top" wrapText="1"/>
    </xf>
    <xf numFmtId="0" fontId="6" fillId="3" borderId="7" xfId="0" applyFont="1" applyFill="1" applyBorder="1" applyAlignment="1">
      <alignment vertical="center"/>
    </xf>
    <xf numFmtId="14" fontId="1" fillId="0" borderId="0" xfId="0" applyNumberFormat="1" applyFont="1" applyAlignment="1">
      <alignment horizontal="center" vertical="center"/>
    </xf>
    <xf numFmtId="0" fontId="0" fillId="0" borderId="0" xfId="0" applyAlignment="1">
      <alignment vertical="center"/>
    </xf>
    <xf numFmtId="0" fontId="11" fillId="4" borderId="20" xfId="0" applyFont="1" applyFill="1" applyBorder="1" applyAlignment="1">
      <alignment horizontal="center"/>
    </xf>
    <xf numFmtId="0" fontId="5" fillId="4" borderId="18"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1" fillId="0" borderId="0" xfId="0" applyFont="1" applyAlignment="1">
      <alignment wrapText="1"/>
    </xf>
    <xf numFmtId="0" fontId="3" fillId="2" borderId="2" xfId="0" applyFont="1" applyFill="1" applyBorder="1" applyAlignment="1" applyProtection="1">
      <alignment horizontal="center" vertical="center" wrapText="1"/>
      <protection locked="0"/>
    </xf>
    <xf numFmtId="0" fontId="3" fillId="2" borderId="0" xfId="0" applyFont="1" applyFill="1" applyAlignment="1" applyProtection="1">
      <alignment vertical="center" wrapText="1"/>
      <protection locked="0"/>
    </xf>
    <xf numFmtId="0" fontId="3" fillId="2" borderId="0" xfId="0" applyFont="1" applyFill="1" applyAlignment="1" applyProtection="1">
      <alignment horizontal="center" vertical="center" wrapText="1"/>
      <protection locked="0"/>
    </xf>
    <xf numFmtId="0" fontId="2" fillId="2" borderId="0" xfId="0" applyFont="1" applyFill="1" applyAlignment="1" applyProtection="1">
      <alignment horizontal="left" vertical="center" wrapText="1"/>
      <protection locked="0"/>
    </xf>
    <xf numFmtId="0" fontId="3" fillId="2" borderId="5" xfId="0" applyFont="1" applyFill="1" applyBorder="1" applyAlignment="1" applyProtection="1">
      <alignment horizontal="center" vertical="center" wrapText="1"/>
      <protection locked="0"/>
    </xf>
    <xf numFmtId="0" fontId="6" fillId="3" borderId="0" xfId="0" applyFont="1" applyFill="1" applyAlignment="1">
      <alignment vertical="center" wrapText="1"/>
    </xf>
    <xf numFmtId="0" fontId="1" fillId="0" borderId="15" xfId="0" applyFont="1" applyBorder="1" applyAlignment="1">
      <alignment horizontal="center" vertical="center" wrapText="1"/>
    </xf>
    <xf numFmtId="2" fontId="1" fillId="0" borderId="15" xfId="0" applyNumberFormat="1" applyFont="1" applyBorder="1" applyAlignment="1">
      <alignment horizontal="center" vertical="center" wrapText="1"/>
    </xf>
    <xf numFmtId="9" fontId="1" fillId="0" borderId="15" xfId="0" applyNumberFormat="1" applyFont="1" applyBorder="1" applyAlignment="1">
      <alignment horizontal="center" vertical="center" wrapText="1"/>
    </xf>
    <xf numFmtId="0" fontId="3" fillId="2" borderId="2" xfId="0" applyFont="1" applyFill="1" applyBorder="1" applyAlignment="1">
      <alignment vertical="center" wrapText="1"/>
    </xf>
    <xf numFmtId="0" fontId="3" fillId="2" borderId="0" xfId="0" applyFont="1" applyFill="1" applyAlignment="1">
      <alignment vertical="center" wrapText="1"/>
    </xf>
    <xf numFmtId="0" fontId="1" fillId="2" borderId="0" xfId="0" applyFont="1" applyFill="1" applyAlignment="1">
      <alignment horizontal="center" wrapText="1"/>
    </xf>
    <xf numFmtId="0" fontId="8" fillId="2" borderId="5" xfId="0" applyFont="1" applyFill="1" applyBorder="1" applyAlignment="1">
      <alignment horizontal="center" vertical="top" wrapText="1"/>
    </xf>
    <xf numFmtId="164" fontId="1" fillId="0" borderId="15" xfId="0" applyNumberFormat="1" applyFont="1" applyBorder="1" applyAlignment="1">
      <alignment horizontal="center" vertical="center" wrapText="1"/>
    </xf>
    <xf numFmtId="9" fontId="1" fillId="0" borderId="15" xfId="1" applyFont="1" applyBorder="1" applyAlignment="1">
      <alignment horizontal="center" vertical="center" wrapText="1"/>
    </xf>
    <xf numFmtId="10" fontId="1" fillId="0" borderId="15" xfId="1" applyNumberFormat="1" applyFont="1" applyBorder="1" applyAlignment="1">
      <alignment horizontal="center" vertical="center" wrapText="1"/>
    </xf>
    <xf numFmtId="2" fontId="1" fillId="2" borderId="15" xfId="0" applyNumberFormat="1" applyFont="1" applyFill="1" applyBorder="1" applyAlignment="1">
      <alignment horizontal="center" vertical="center" wrapText="1"/>
    </xf>
    <xf numFmtId="2" fontId="1" fillId="2" borderId="8" xfId="0" applyNumberFormat="1" applyFont="1" applyFill="1" applyBorder="1" applyAlignment="1">
      <alignment horizontal="center" vertical="center" wrapText="1"/>
    </xf>
    <xf numFmtId="0" fontId="5" fillId="5" borderId="18" xfId="0" applyFont="1" applyFill="1" applyBorder="1" applyAlignment="1">
      <alignment horizontal="center" vertical="center"/>
    </xf>
    <xf numFmtId="0" fontId="5" fillId="5" borderId="18" xfId="0" applyFont="1" applyFill="1" applyBorder="1" applyAlignment="1">
      <alignment horizontal="center" vertical="center" wrapText="1"/>
    </xf>
    <xf numFmtId="0" fontId="3" fillId="2" borderId="5" xfId="0" applyFont="1" applyFill="1" applyBorder="1" applyAlignment="1" applyProtection="1">
      <alignment horizontal="center" vertical="top"/>
      <protection locked="0"/>
    </xf>
    <xf numFmtId="0" fontId="2" fillId="3" borderId="12" xfId="0" applyFont="1" applyFill="1" applyBorder="1" applyAlignment="1" applyProtection="1">
      <alignment horizontal="center" vertical="center"/>
      <protection locked="0"/>
    </xf>
    <xf numFmtId="0" fontId="2" fillId="3" borderId="13" xfId="0" applyFont="1" applyFill="1" applyBorder="1" applyAlignment="1" applyProtection="1">
      <alignment horizontal="center" vertical="center"/>
      <protection locked="0"/>
    </xf>
    <xf numFmtId="0" fontId="2" fillId="3" borderId="14" xfId="0" applyFont="1" applyFill="1" applyBorder="1" applyAlignment="1" applyProtection="1">
      <alignment horizontal="center" vertical="center"/>
      <protection locked="0"/>
    </xf>
    <xf numFmtId="0" fontId="3" fillId="2" borderId="8" xfId="0" applyFont="1" applyFill="1" applyBorder="1" applyAlignment="1" applyProtection="1">
      <alignment horizontal="center" vertical="center" wrapText="1"/>
      <protection locked="0" hidden="1"/>
    </xf>
    <xf numFmtId="0" fontId="3" fillId="2" borderId="9" xfId="0" applyFont="1" applyFill="1" applyBorder="1" applyAlignment="1" applyProtection="1">
      <alignment horizontal="center" vertical="center" wrapText="1"/>
      <protection locked="0" hidden="1"/>
    </xf>
    <xf numFmtId="0" fontId="3" fillId="2" borderId="10" xfId="0" applyFont="1" applyFill="1" applyBorder="1" applyAlignment="1" applyProtection="1">
      <alignment horizontal="center" vertical="center" wrapText="1"/>
      <protection locked="0" hidden="1"/>
    </xf>
    <xf numFmtId="14" fontId="1" fillId="0" borderId="8" xfId="0" applyNumberFormat="1" applyFont="1" applyBorder="1" applyAlignment="1">
      <alignment horizontal="center" vertical="center"/>
    </xf>
    <xf numFmtId="14" fontId="1" fillId="0" borderId="9" xfId="0" applyNumberFormat="1" applyFont="1" applyBorder="1" applyAlignment="1">
      <alignment horizontal="center" vertical="center"/>
    </xf>
    <xf numFmtId="14" fontId="1" fillId="0" borderId="10" xfId="0" applyNumberFormat="1" applyFont="1" applyBorder="1" applyAlignment="1">
      <alignment horizontal="center" vertical="center"/>
    </xf>
    <xf numFmtId="0" fontId="3" fillId="2" borderId="1" xfId="0" applyFont="1" applyFill="1" applyBorder="1" applyAlignment="1" applyProtection="1">
      <alignment horizontal="left" vertical="center" wrapText="1"/>
      <protection locked="0" hidden="1"/>
    </xf>
    <xf numFmtId="0" fontId="3" fillId="2" borderId="2" xfId="0" applyFont="1" applyFill="1" applyBorder="1" applyAlignment="1" applyProtection="1">
      <alignment horizontal="left" vertical="center" wrapText="1"/>
      <protection locked="0" hidden="1"/>
    </xf>
    <xf numFmtId="0" fontId="3" fillId="2" borderId="3" xfId="0" applyFont="1" applyFill="1" applyBorder="1" applyAlignment="1" applyProtection="1">
      <alignment horizontal="left" vertical="center" wrapText="1"/>
      <protection locked="0" hidden="1"/>
    </xf>
    <xf numFmtId="0" fontId="3" fillId="2" borderId="7" xfId="0" applyFont="1" applyFill="1" applyBorder="1" applyAlignment="1" applyProtection="1">
      <alignment horizontal="left" vertical="center" wrapText="1"/>
      <protection locked="0" hidden="1"/>
    </xf>
    <xf numFmtId="0" fontId="3" fillId="2" borderId="0" xfId="0" applyFont="1" applyFill="1" applyAlignment="1" applyProtection="1">
      <alignment horizontal="left" vertical="center" wrapText="1"/>
      <protection locked="0" hidden="1"/>
    </xf>
    <xf numFmtId="0" fontId="3" fillId="2" borderId="11" xfId="0" applyFont="1" applyFill="1" applyBorder="1" applyAlignment="1" applyProtection="1">
      <alignment horizontal="left" vertical="center" wrapText="1"/>
      <protection locked="0" hidden="1"/>
    </xf>
    <xf numFmtId="0" fontId="3" fillId="2" borderId="1" xfId="0" quotePrefix="1" applyFont="1" applyFill="1" applyBorder="1" applyAlignment="1" applyProtection="1">
      <alignment horizontal="left" vertical="top" wrapText="1"/>
      <protection locked="0"/>
    </xf>
    <xf numFmtId="0" fontId="3" fillId="2" borderId="2" xfId="0" quotePrefix="1" applyFont="1" applyFill="1" applyBorder="1" applyAlignment="1" applyProtection="1">
      <alignment horizontal="left" vertical="top" wrapText="1"/>
      <protection locked="0"/>
    </xf>
    <xf numFmtId="0" fontId="3" fillId="2" borderId="3" xfId="0" quotePrefix="1" applyFont="1" applyFill="1" applyBorder="1" applyAlignment="1" applyProtection="1">
      <alignment horizontal="left" vertical="top" wrapText="1"/>
      <protection locked="0"/>
    </xf>
    <xf numFmtId="0" fontId="6" fillId="3" borderId="12"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14" xfId="0" applyFont="1" applyFill="1" applyBorder="1" applyAlignment="1">
      <alignment horizontal="center" vertical="center"/>
    </xf>
    <xf numFmtId="0" fontId="6" fillId="0" borderId="12" xfId="0" applyFont="1" applyBorder="1" applyAlignment="1">
      <alignment horizontal="center"/>
    </xf>
    <xf numFmtId="0" fontId="6" fillId="0" borderId="13" xfId="0" applyFont="1" applyBorder="1" applyAlignment="1">
      <alignment horizontal="center"/>
    </xf>
    <xf numFmtId="0" fontId="6" fillId="0" borderId="14" xfId="0" applyFont="1" applyBorder="1" applyAlignment="1">
      <alignment horizontal="center"/>
    </xf>
    <xf numFmtId="0" fontId="6" fillId="3" borderId="30"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8" xfId="0" applyFont="1" applyFill="1" applyBorder="1" applyAlignment="1">
      <alignment horizontal="center" vertical="center"/>
    </xf>
    <xf numFmtId="0" fontId="11" fillId="4" borderId="23" xfId="0" applyFont="1" applyFill="1" applyBorder="1" applyAlignment="1">
      <alignment horizontal="center" vertical="center"/>
    </xf>
    <xf numFmtId="0" fontId="11" fillId="4" borderId="21"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23" xfId="0" applyFont="1" applyFill="1" applyBorder="1" applyAlignment="1">
      <alignment horizontal="center" vertical="center"/>
    </xf>
    <xf numFmtId="0" fontId="5" fillId="4" borderId="31"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21" xfId="0" applyFont="1" applyFill="1" applyBorder="1" applyAlignment="1">
      <alignment horizontal="center" vertical="center"/>
    </xf>
    <xf numFmtId="0" fontId="5" fillId="4" borderId="29" xfId="0" applyFont="1" applyFill="1" applyBorder="1" applyAlignment="1">
      <alignment horizontal="center" vertical="center"/>
    </xf>
    <xf numFmtId="0" fontId="1" fillId="0" borderId="24" xfId="0" applyFont="1" applyBorder="1" applyAlignment="1">
      <alignment horizontal="center" vertical="center"/>
    </xf>
    <xf numFmtId="0" fontId="6" fillId="0" borderId="23" xfId="0" applyFont="1" applyBorder="1" applyAlignment="1">
      <alignment horizontal="center" vertical="center"/>
    </xf>
    <xf numFmtId="0" fontId="6" fillId="0" borderId="31" xfId="0" applyFont="1" applyBorder="1" applyAlignment="1">
      <alignment horizontal="center" vertical="center"/>
    </xf>
    <xf numFmtId="0" fontId="6" fillId="0" borderId="25" xfId="0" applyFont="1" applyBorder="1" applyAlignment="1">
      <alignment horizontal="center" vertical="center"/>
    </xf>
    <xf numFmtId="0" fontId="6" fillId="0" borderId="0" xfId="0" applyFont="1" applyAlignment="1">
      <alignment horizontal="center" vertical="center"/>
    </xf>
    <xf numFmtId="0" fontId="6" fillId="0" borderId="11" xfId="0" applyFont="1" applyBorder="1" applyAlignment="1">
      <alignment horizontal="center" vertical="center"/>
    </xf>
    <xf numFmtId="0" fontId="5" fillId="4" borderId="26" xfId="0" applyFont="1" applyFill="1" applyBorder="1" applyAlignment="1">
      <alignment horizontal="center" vertical="center"/>
    </xf>
    <xf numFmtId="0" fontId="5" fillId="4" borderId="9" xfId="0" applyFont="1" applyFill="1" applyBorder="1" applyAlignment="1">
      <alignment horizontal="center" vertical="center"/>
    </xf>
    <xf numFmtId="0" fontId="5" fillId="4" borderId="27" xfId="0" applyFont="1" applyFill="1" applyBorder="1" applyAlignment="1">
      <alignment horizontal="center" vertical="center"/>
    </xf>
    <xf numFmtId="1" fontId="1" fillId="0" borderId="24" xfId="0" applyNumberFormat="1" applyFont="1" applyBorder="1" applyAlignment="1">
      <alignment horizontal="center" vertical="center"/>
    </xf>
    <xf numFmtId="1" fontId="1" fillId="0" borderId="23" xfId="0" applyNumberFormat="1" applyFont="1" applyBorder="1" applyAlignment="1">
      <alignment horizontal="center" vertical="center"/>
    </xf>
    <xf numFmtId="1" fontId="1" fillId="0" borderId="31" xfId="0" applyNumberFormat="1" applyFont="1" applyBorder="1" applyAlignment="1">
      <alignment horizontal="center" vertical="center"/>
    </xf>
    <xf numFmtId="1" fontId="1" fillId="0" borderId="25" xfId="0" applyNumberFormat="1" applyFont="1" applyBorder="1" applyAlignment="1">
      <alignment horizontal="center" vertical="center"/>
    </xf>
    <xf numFmtId="1" fontId="1" fillId="0" borderId="0" xfId="0" applyNumberFormat="1" applyFont="1" applyAlignment="1">
      <alignment horizontal="center" vertical="center"/>
    </xf>
    <xf numFmtId="1" fontId="1" fillId="0" borderId="11" xfId="0" applyNumberFormat="1" applyFont="1" applyBorder="1" applyAlignment="1">
      <alignment horizontal="center" vertical="center"/>
    </xf>
    <xf numFmtId="0" fontId="1" fillId="2" borderId="0" xfId="0" applyFont="1" applyFill="1" applyAlignment="1">
      <alignment horizontal="left" vertical="top" wrapTex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7" fillId="2" borderId="0" xfId="0" applyFont="1" applyFill="1" applyAlignment="1">
      <alignment horizontal="left" vertical="top" wrapText="1"/>
    </xf>
    <xf numFmtId="0" fontId="1" fillId="2" borderId="0" xfId="0" applyFont="1" applyFill="1" applyAlignment="1">
      <alignment horizontal="center" vertical="top" wrapText="1"/>
    </xf>
    <xf numFmtId="0" fontId="1" fillId="2" borderId="11" xfId="0" applyFont="1" applyFill="1" applyBorder="1" applyAlignment="1">
      <alignment horizontal="center" vertical="top" wrapText="1"/>
    </xf>
    <xf numFmtId="0" fontId="7" fillId="2" borderId="5" xfId="0" applyFont="1" applyFill="1" applyBorder="1" applyAlignment="1">
      <alignment horizontal="left" vertical="top" wrapText="1"/>
    </xf>
    <xf numFmtId="0" fontId="1" fillId="2" borderId="5" xfId="0" applyFont="1" applyFill="1" applyBorder="1" applyAlignment="1">
      <alignment horizontal="center" vertical="top" wrapText="1"/>
    </xf>
    <xf numFmtId="0" fontId="1" fillId="2" borderId="6" xfId="0" applyFont="1" applyFill="1" applyBorder="1" applyAlignment="1">
      <alignment horizontal="center" vertical="top" wrapText="1"/>
    </xf>
    <xf numFmtId="0" fontId="1" fillId="2" borderId="5" xfId="0" applyFont="1" applyFill="1" applyBorder="1" applyAlignment="1">
      <alignment horizontal="left" vertical="top" wrapText="1"/>
    </xf>
    <xf numFmtId="0" fontId="1" fillId="2" borderId="16" xfId="0" applyFont="1" applyFill="1" applyBorder="1" applyAlignment="1">
      <alignment horizontal="center" wrapText="1"/>
    </xf>
    <xf numFmtId="0" fontId="1" fillId="2" borderId="16" xfId="0" applyFont="1" applyFill="1" applyBorder="1" applyAlignment="1">
      <alignment horizontal="center"/>
    </xf>
    <xf numFmtId="0" fontId="1" fillId="2" borderId="17" xfId="0" applyFont="1" applyFill="1" applyBorder="1" applyAlignment="1">
      <alignment horizontal="center"/>
    </xf>
    <xf numFmtId="0" fontId="8" fillId="2" borderId="5" xfId="0" applyFont="1" applyFill="1" applyBorder="1" applyAlignment="1">
      <alignment horizontal="center" vertical="top" wrapText="1"/>
    </xf>
    <xf numFmtId="0" fontId="8" fillId="2" borderId="5" xfId="0" applyFont="1" applyFill="1" applyBorder="1" applyAlignment="1">
      <alignment horizontal="center" vertical="top"/>
    </xf>
    <xf numFmtId="0" fontId="8" fillId="2" borderId="6" xfId="0" applyFont="1" applyFill="1" applyBorder="1" applyAlignment="1">
      <alignment horizontal="center" vertical="top"/>
    </xf>
    <xf numFmtId="0" fontId="2" fillId="3" borderId="4" xfId="0" applyFont="1" applyFill="1" applyBorder="1" applyAlignment="1" applyProtection="1">
      <alignment horizontal="center" vertical="center"/>
      <protection locked="0"/>
    </xf>
    <xf numFmtId="0" fontId="2" fillId="3" borderId="5" xfId="0" applyFont="1" applyFill="1" applyBorder="1" applyAlignment="1" applyProtection="1">
      <alignment horizontal="center" vertical="center"/>
      <protection locked="0"/>
    </xf>
    <xf numFmtId="0" fontId="2" fillId="3" borderId="6" xfId="0" applyFont="1" applyFill="1" applyBorder="1" applyAlignment="1" applyProtection="1">
      <alignment horizontal="center" vertical="center"/>
      <protection locked="0"/>
    </xf>
    <xf numFmtId="0" fontId="1" fillId="2" borderId="13" xfId="0" applyFont="1" applyFill="1" applyBorder="1" applyAlignment="1">
      <alignment horizontal="left" vertical="top" wrapText="1"/>
    </xf>
    <xf numFmtId="0" fontId="1" fillId="2" borderId="14" xfId="0" applyFont="1" applyFill="1" applyBorder="1" applyAlignment="1">
      <alignment horizontal="left" vertical="top" wrapText="1"/>
    </xf>
    <xf numFmtId="0" fontId="3" fillId="2" borderId="32" xfId="0" applyFont="1" applyFill="1" applyBorder="1" applyAlignment="1">
      <alignment horizontal="center" vertical="center"/>
    </xf>
    <xf numFmtId="0" fontId="3" fillId="2" borderId="33" xfId="0" applyFont="1" applyFill="1" applyBorder="1" applyAlignment="1">
      <alignment horizontal="center" vertical="center"/>
    </xf>
    <xf numFmtId="0" fontId="0" fillId="2" borderId="0" xfId="0" applyFill="1" applyAlignment="1">
      <alignment horizontal="left" wrapText="1"/>
    </xf>
  </cellXfs>
  <cellStyles count="2">
    <cellStyle name="Normal" xfId="0" builtinId="0"/>
    <cellStyle name="Percent" xfId="1" builtinId="5"/>
  </cellStyles>
  <dxfs count="2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9933"/>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464535</xdr:colOff>
      <xdr:row>5</xdr:row>
      <xdr:rowOff>154781</xdr:rowOff>
    </xdr:from>
    <xdr:to>
      <xdr:col>31</xdr:col>
      <xdr:colOff>196273</xdr:colOff>
      <xdr:row>24</xdr:row>
      <xdr:rowOff>35719</xdr:rowOff>
    </xdr:to>
    <xdr:pic>
      <xdr:nvPicPr>
        <xdr:cNvPr id="7" name="Picture 6" descr="C:\Users\ckramerv\Downloads\image(19).png">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4535" y="1078417"/>
          <a:ext cx="18700920" cy="3390757"/>
        </a:xfrm>
        <a:prstGeom prst="rect">
          <a:avLst/>
        </a:prstGeom>
        <a:noFill/>
        <a:ln>
          <a:noFill/>
        </a:ln>
      </xdr:spPr>
    </xdr:pic>
    <xdr:clientData/>
  </xdr:twoCellAnchor>
  <xdr:twoCellAnchor editAs="oneCell">
    <xdr:from>
      <xdr:col>0</xdr:col>
      <xdr:colOff>0</xdr:colOff>
      <xdr:row>26</xdr:row>
      <xdr:rowOff>96528</xdr:rowOff>
    </xdr:from>
    <xdr:to>
      <xdr:col>31</xdr:col>
      <xdr:colOff>508000</xdr:colOff>
      <xdr:row>76</xdr:row>
      <xdr:rowOff>35982</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0" y="4899437"/>
          <a:ext cx="19477182" cy="938363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olina, Javi" id="{F9D17097-81F7-4124-9EC7-1C5175B2A7F2}" userId="S::javimolr@amazon.com::b5d8969a-75c9-4189-b8f2-c09468c3dc2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34" dT="2026-03-12T00:31:11.39" personId="{F9D17097-81F7-4124-9EC7-1C5175B2A7F2}" id="{4809D7DD-6656-475A-9B5C-F306258CA5B9}">
    <text>20000855756657 Appeal</text>
  </threadedComment>
</ThreadedComments>
</file>

<file path=xl/threadedComments/threadedComment2.xml><?xml version="1.0" encoding="utf-8"?>
<ThreadedComments xmlns="http://schemas.microsoft.com/office/spreadsheetml/2018/threadedcomments" xmlns:x="http://schemas.openxmlformats.org/spreadsheetml/2006/main">
  <threadedComment ref="G29" dT="2026-05-21T23:58:25.27" personId="{F9D17097-81F7-4124-9EC7-1C5175B2A7F2}" id="{46A93563-D188-4631-B680-13B88B7CC7C5}">
    <text>20000865202527: RPOed on 6th April for MDR ab. MDR instance on order id 112-7615515-0521059, different unit, LC MDR. Account is previous warned for f3 ab. F3 orders are mapped in MFN, as per the SOP we should take next enforcement "The account is warned for MDR, FLR, RR, DNR, or PDA" Here account is warned for f3, incorrect RPO.</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2:N33"/>
  <sheetViews>
    <sheetView zoomScale="40" zoomScaleNormal="40" workbookViewId="0"/>
  </sheetViews>
  <sheetFormatPr defaultColWidth="8.7109375" defaultRowHeight="14.45"/>
  <cols>
    <col min="1" max="16384" width="8.7109375" style="40"/>
  </cols>
  <sheetData>
    <row r="32" spans="2:14" ht="45" customHeight="1">
      <c r="B32" s="145" t="s">
        <v>0</v>
      </c>
      <c r="C32" s="145"/>
      <c r="D32" s="145"/>
      <c r="E32" s="145"/>
      <c r="F32" s="145"/>
      <c r="G32" s="145"/>
      <c r="H32" s="145"/>
      <c r="I32" s="145"/>
      <c r="J32" s="145"/>
      <c r="K32" s="145"/>
      <c r="L32" s="145"/>
      <c r="M32" s="145"/>
      <c r="N32" s="145"/>
    </row>
    <row r="33" spans="2:14" ht="14.45" hidden="1" customHeight="1">
      <c r="B33" s="145"/>
      <c r="C33" s="145"/>
      <c r="D33" s="145"/>
      <c r="E33" s="145"/>
      <c r="F33" s="145"/>
      <c r="G33" s="145"/>
      <c r="H33" s="145"/>
      <c r="I33" s="145"/>
      <c r="J33" s="145"/>
      <c r="K33" s="145"/>
      <c r="L33" s="145"/>
      <c r="M33" s="145"/>
      <c r="N33" s="145"/>
    </row>
  </sheetData>
  <mergeCells count="1">
    <mergeCell ref="B32:N3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23000-1175-4A58-92E0-32ADFFB3986E}">
  <sheetPr>
    <tabColor theme="7" tint="0.59999389629810485"/>
  </sheetPr>
  <dimension ref="B1:N53"/>
  <sheetViews>
    <sheetView showGridLines="0" zoomScale="55" zoomScaleNormal="55" workbookViewId="0">
      <selection activeCell="C4" sqref="C4:E4"/>
    </sheetView>
  </sheetViews>
  <sheetFormatPr defaultColWidth="9.140625" defaultRowHeight="15.6"/>
  <cols>
    <col min="1" max="1" width="2" style="11" customWidth="1"/>
    <col min="2" max="2" width="68.85546875" style="11" customWidth="1"/>
    <col min="3" max="7" width="21.5703125" style="48" customWidth="1"/>
    <col min="8" max="12" width="29" style="11" customWidth="1"/>
    <col min="13" max="14" width="17.7109375" style="11" customWidth="1"/>
    <col min="15" max="16384" width="9.140625" style="11"/>
  </cols>
  <sheetData>
    <row r="1" spans="2:14" ht="7.5" customHeight="1" thickBot="1"/>
    <row r="2" spans="2:14" ht="24.75" customHeight="1" thickBot="1">
      <c r="B2" s="70" t="s">
        <v>1</v>
      </c>
      <c r="C2" s="71"/>
      <c r="D2" s="71"/>
      <c r="E2" s="71"/>
      <c r="F2" s="71"/>
      <c r="G2" s="71"/>
      <c r="H2" s="71"/>
      <c r="I2" s="71"/>
      <c r="J2" s="71"/>
      <c r="K2" s="71"/>
      <c r="L2" s="71"/>
      <c r="M2" s="71"/>
      <c r="N2" s="72"/>
    </row>
    <row r="3" spans="2:14">
      <c r="B3" s="12"/>
      <c r="C3" s="49"/>
      <c r="D3" s="49"/>
      <c r="E3" s="49"/>
      <c r="F3" s="49"/>
      <c r="G3" s="49"/>
      <c r="H3" s="13"/>
      <c r="I3" s="13"/>
      <c r="J3" s="13"/>
      <c r="K3" s="13"/>
      <c r="L3" s="13"/>
      <c r="M3" s="13"/>
      <c r="N3" s="14"/>
    </row>
    <row r="4" spans="2:14">
      <c r="B4" s="1" t="s">
        <v>2</v>
      </c>
      <c r="C4" s="73" t="s">
        <v>3</v>
      </c>
      <c r="D4" s="74"/>
      <c r="E4" s="75"/>
      <c r="F4" s="50"/>
      <c r="G4" s="50"/>
      <c r="H4" s="2"/>
      <c r="I4" s="2" t="s">
        <v>4</v>
      </c>
      <c r="J4" s="76" t="s">
        <v>5</v>
      </c>
      <c r="K4" s="77"/>
      <c r="L4" s="78"/>
      <c r="M4" s="43"/>
      <c r="N4" s="4"/>
    </row>
    <row r="5" spans="2:14">
      <c r="B5" s="5"/>
      <c r="C5" s="51"/>
      <c r="D5" s="51"/>
      <c r="E5" s="51"/>
      <c r="F5" s="51"/>
      <c r="G5" s="51"/>
      <c r="H5" s="3"/>
      <c r="I5" s="3"/>
      <c r="J5" s="3"/>
      <c r="K5" s="3"/>
      <c r="L5" s="3"/>
      <c r="M5" s="3"/>
      <c r="N5" s="6"/>
    </row>
    <row r="6" spans="2:14">
      <c r="B6" s="1" t="s">
        <v>6</v>
      </c>
      <c r="C6" s="73" t="s">
        <v>7</v>
      </c>
      <c r="D6" s="74"/>
      <c r="E6" s="75"/>
      <c r="F6" s="52"/>
      <c r="G6" s="52"/>
      <c r="H6" s="3"/>
      <c r="I6" s="2" t="s">
        <v>8</v>
      </c>
      <c r="J6" s="76" t="s">
        <v>9</v>
      </c>
      <c r="K6" s="77"/>
      <c r="L6" s="78"/>
      <c r="M6" s="43"/>
      <c r="N6" s="15"/>
    </row>
    <row r="7" spans="2:14" ht="18" customHeight="1" thickBot="1">
      <c r="B7" s="7"/>
      <c r="C7" s="53"/>
      <c r="D7" s="53"/>
      <c r="E7" s="53"/>
      <c r="F7" s="53"/>
      <c r="G7" s="53"/>
      <c r="H7" s="8"/>
      <c r="I7" s="8"/>
      <c r="J7" s="69"/>
      <c r="K7" s="69"/>
      <c r="L7" s="69"/>
      <c r="M7" s="9"/>
      <c r="N7" s="10"/>
    </row>
    <row r="8" spans="2:14" ht="15.95" thickBot="1">
      <c r="B8" s="70" t="s">
        <v>10</v>
      </c>
      <c r="C8" s="71"/>
      <c r="D8" s="71"/>
      <c r="E8" s="71"/>
      <c r="F8" s="71"/>
      <c r="G8" s="71"/>
      <c r="H8" s="71"/>
      <c r="I8" s="71"/>
      <c r="J8" s="71"/>
      <c r="K8" s="71"/>
      <c r="L8" s="71"/>
      <c r="M8" s="71"/>
      <c r="N8" s="72"/>
    </row>
    <row r="9" spans="2:14">
      <c r="B9" s="79" t="s">
        <v>11</v>
      </c>
      <c r="C9" s="80"/>
      <c r="D9" s="80"/>
      <c r="E9" s="80"/>
      <c r="F9" s="80"/>
      <c r="G9" s="80"/>
      <c r="H9" s="80"/>
      <c r="I9" s="80"/>
      <c r="J9" s="80"/>
      <c r="K9" s="80"/>
      <c r="L9" s="80"/>
      <c r="M9" s="80"/>
      <c r="N9" s="81"/>
    </row>
    <row r="10" spans="2:14">
      <c r="B10" s="82"/>
      <c r="C10" s="83"/>
      <c r="D10" s="83"/>
      <c r="E10" s="83"/>
      <c r="F10" s="83"/>
      <c r="G10" s="83"/>
      <c r="H10" s="83"/>
      <c r="I10" s="83"/>
      <c r="J10" s="83"/>
      <c r="K10" s="83"/>
      <c r="L10" s="83"/>
      <c r="M10" s="83"/>
      <c r="N10" s="84"/>
    </row>
    <row r="11" spans="2:14" ht="70.5" customHeight="1" thickBot="1">
      <c r="B11" s="82"/>
      <c r="C11" s="83"/>
      <c r="D11" s="83"/>
      <c r="E11" s="83"/>
      <c r="F11" s="83"/>
      <c r="G11" s="83"/>
      <c r="H11" s="83"/>
      <c r="I11" s="83"/>
      <c r="J11" s="83"/>
      <c r="K11" s="83"/>
      <c r="L11" s="83"/>
      <c r="M11" s="83"/>
      <c r="N11" s="84"/>
    </row>
    <row r="12" spans="2:14" ht="15.95" thickBot="1">
      <c r="B12" s="70" t="s">
        <v>12</v>
      </c>
      <c r="C12" s="71"/>
      <c r="D12" s="71"/>
      <c r="E12" s="71"/>
      <c r="F12" s="71"/>
      <c r="G12" s="71"/>
      <c r="H12" s="71"/>
      <c r="I12" s="71"/>
      <c r="J12" s="71"/>
      <c r="K12" s="71"/>
      <c r="L12" s="71"/>
      <c r="M12" s="71"/>
      <c r="N12" s="72"/>
    </row>
    <row r="13" spans="2:14" ht="48" customHeight="1" thickBot="1">
      <c r="B13" s="85" t="s">
        <v>13</v>
      </c>
      <c r="C13" s="86"/>
      <c r="D13" s="86"/>
      <c r="E13" s="86"/>
      <c r="F13" s="86"/>
      <c r="G13" s="86"/>
      <c r="H13" s="86"/>
      <c r="I13" s="86"/>
      <c r="J13" s="86"/>
      <c r="K13" s="86"/>
      <c r="L13" s="86"/>
      <c r="M13" s="86"/>
      <c r="N13" s="87"/>
    </row>
    <row r="14" spans="2:14" ht="35.450000000000003" customHeight="1" thickBot="1">
      <c r="B14" s="88" t="s">
        <v>14</v>
      </c>
      <c r="C14" s="89"/>
      <c r="D14" s="89"/>
      <c r="E14" s="89"/>
      <c r="F14" s="89"/>
      <c r="G14" s="47"/>
      <c r="H14" s="90" t="s">
        <v>15</v>
      </c>
      <c r="I14" s="91"/>
      <c r="J14" s="91"/>
      <c r="K14" s="91"/>
      <c r="L14" s="91"/>
      <c r="M14" s="91"/>
      <c r="N14" s="92"/>
    </row>
    <row r="15" spans="2:14">
      <c r="B15" s="42"/>
      <c r="C15" s="54"/>
      <c r="D15" s="54"/>
      <c r="E15" s="54"/>
      <c r="F15" s="54"/>
      <c r="G15" s="54"/>
      <c r="H15" s="16">
        <v>1</v>
      </c>
      <c r="I15" s="16">
        <v>1</v>
      </c>
      <c r="J15" s="16">
        <v>1</v>
      </c>
      <c r="K15" s="16">
        <v>1</v>
      </c>
      <c r="L15" s="96" t="s">
        <v>16</v>
      </c>
      <c r="M15" s="97"/>
      <c r="N15" s="98"/>
    </row>
    <row r="16" spans="2:14" ht="22.5" customHeight="1">
      <c r="B16" s="99" t="s">
        <v>17</v>
      </c>
      <c r="C16" s="67" t="s">
        <v>18</v>
      </c>
      <c r="D16" s="67" t="s">
        <v>19</v>
      </c>
      <c r="E16" s="67" t="s">
        <v>20</v>
      </c>
      <c r="F16" s="67" t="s">
        <v>21</v>
      </c>
      <c r="G16" s="67" t="s">
        <v>22</v>
      </c>
      <c r="H16" s="67" t="s">
        <v>23</v>
      </c>
      <c r="I16" s="67" t="s">
        <v>24</v>
      </c>
      <c r="J16" s="67" t="s">
        <v>25</v>
      </c>
      <c r="K16" s="67" t="s">
        <v>26</v>
      </c>
      <c r="L16" s="101" t="s">
        <v>27</v>
      </c>
      <c r="M16" s="102"/>
      <c r="N16" s="103"/>
    </row>
    <row r="17" spans="2:14" ht="51" customHeight="1">
      <c r="B17" s="100"/>
      <c r="C17" s="46" t="str">
        <f>_xlfn.IFNA(VLOOKUP(C16,Sheet2!$A:$B,2,0),"")</f>
        <v>11 enero 2026 - 17 enero 2026</v>
      </c>
      <c r="D17" s="46" t="str">
        <f>_xlfn.IFNA(VLOOKUP(D16,Sheet2!$A:$B,2,0),"")</f>
        <v>18 enero 2026 - 24 enero 2026</v>
      </c>
      <c r="E17" s="46" t="str">
        <f>_xlfn.IFNA(VLOOKUP(E16,Sheet2!$A:$B,2,0),"")</f>
        <v>25 enero 2026 - 31 enero 2026</v>
      </c>
      <c r="F17" s="46" t="str">
        <f>_xlfn.IFNA(VLOOKUP(F16,Sheet2!$A:$B,2,0),"")</f>
        <v>01 febrero 2026 - 07 febrero 2026</v>
      </c>
      <c r="G17" s="46" t="str">
        <f>_xlfn.IFNA(VLOOKUP(G16,Sheet2!$A:$B,2,0),"")</f>
        <v>08 febrero 2026 - 14 febrero 2026</v>
      </c>
      <c r="H17" s="68" t="str">
        <f>_xlfn.IFNA(VLOOKUP(H16,Sheet2!$A:$B,2,0),"")</f>
        <v>15 febrero 2026 - 21 febrero 2026</v>
      </c>
      <c r="I17" s="68" t="str">
        <f>_xlfn.IFNA(VLOOKUP(I16,Sheet2!$A:$B,2,0),"")</f>
        <v>22 febrero 2026 - 28 febrero 2026</v>
      </c>
      <c r="J17" s="68" t="str">
        <f>_xlfn.IFNA(VLOOKUP(J16,Sheet2!$A:$B,2,0),"")</f>
        <v>01 marzo 2026 - 07 marzo 2026</v>
      </c>
      <c r="K17" s="68" t="str">
        <f>_xlfn.IFNA(VLOOKUP(K16,Sheet2!$A:$B,2,0),"")</f>
        <v>08 marzo 2026 - 14 marzo 2026</v>
      </c>
      <c r="L17" s="104"/>
      <c r="M17" s="105"/>
      <c r="N17" s="106"/>
    </row>
    <row r="18" spans="2:14">
      <c r="B18" s="44" t="s">
        <v>28</v>
      </c>
      <c r="C18" s="56">
        <v>9.1923739486674663</v>
      </c>
      <c r="D18" s="56">
        <v>8.9413260405642756</v>
      </c>
      <c r="E18" s="56">
        <v>8.9532495963817222</v>
      </c>
      <c r="F18" s="56">
        <v>8.3000000000000007</v>
      </c>
      <c r="G18" s="66">
        <v>7.93</v>
      </c>
      <c r="H18" s="65">
        <v>9.5860878419767133</v>
      </c>
      <c r="I18" s="65">
        <v>8.603133232916429</v>
      </c>
      <c r="J18" s="65">
        <v>8.4081957782006445</v>
      </c>
      <c r="K18" s="65">
        <v>8.5095800774799191</v>
      </c>
      <c r="L18" s="107" t="s">
        <v>29</v>
      </c>
      <c r="M18" s="108"/>
      <c r="N18" s="109"/>
    </row>
    <row r="19" spans="2:14">
      <c r="B19" s="44" t="s">
        <v>30</v>
      </c>
      <c r="C19" s="56">
        <v>8.6907760300337422</v>
      </c>
      <c r="D19" s="56">
        <v>8.6948317829311126</v>
      </c>
      <c r="E19" s="56">
        <v>8.1041631870565727</v>
      </c>
      <c r="F19" s="56">
        <v>7.74</v>
      </c>
      <c r="G19" s="66">
        <v>6.7</v>
      </c>
      <c r="H19" s="65">
        <v>7.9245179616926835</v>
      </c>
      <c r="I19" s="65">
        <v>10.221274773558738</v>
      </c>
      <c r="J19" s="65">
        <v>10.023079459281242</v>
      </c>
      <c r="K19" s="65">
        <v>9.0408696848768404</v>
      </c>
      <c r="L19" s="110"/>
      <c r="M19" s="111"/>
      <c r="N19" s="112"/>
    </row>
    <row r="20" spans="2:14" ht="15.95" thickBot="1">
      <c r="B20" s="44" t="s">
        <v>31</v>
      </c>
      <c r="C20" s="55" t="s">
        <v>32</v>
      </c>
      <c r="D20" s="55" t="s">
        <v>32</v>
      </c>
      <c r="E20" s="55" t="s">
        <v>32</v>
      </c>
      <c r="F20" s="55" t="s">
        <v>32</v>
      </c>
      <c r="G20" s="55" t="s">
        <v>32</v>
      </c>
      <c r="H20" s="55" t="s">
        <v>32</v>
      </c>
      <c r="I20" s="55" t="s">
        <v>33</v>
      </c>
      <c r="J20" s="55" t="s">
        <v>33</v>
      </c>
      <c r="K20" s="55" t="s">
        <v>33</v>
      </c>
      <c r="L20" s="110"/>
      <c r="M20" s="111"/>
      <c r="N20" s="112"/>
    </row>
    <row r="21" spans="2:14" ht="53.1" hidden="1" customHeight="1">
      <c r="B21" s="45" t="s">
        <v>34</v>
      </c>
      <c r="C21" s="46" t="str">
        <f t="shared" ref="C21:K21" si="0">C17</f>
        <v>11 enero 2026 - 17 enero 2026</v>
      </c>
      <c r="D21" s="46" t="str">
        <f t="shared" si="0"/>
        <v>18 enero 2026 - 24 enero 2026</v>
      </c>
      <c r="E21" s="46" t="str">
        <f t="shared" si="0"/>
        <v>25 enero 2026 - 31 enero 2026</v>
      </c>
      <c r="F21" s="46" t="str">
        <f t="shared" si="0"/>
        <v>01 febrero 2026 - 07 febrero 2026</v>
      </c>
      <c r="G21" s="46" t="str">
        <f t="shared" si="0"/>
        <v>08 febrero 2026 - 14 febrero 2026</v>
      </c>
      <c r="H21" s="68" t="str">
        <f t="shared" si="0"/>
        <v>15 febrero 2026 - 21 febrero 2026</v>
      </c>
      <c r="I21" s="68" t="str">
        <f t="shared" si="0"/>
        <v>22 febrero 2026 - 28 febrero 2026</v>
      </c>
      <c r="J21" s="68" t="str">
        <f t="shared" si="0"/>
        <v>01 marzo 2026 - 07 marzo 2026</v>
      </c>
      <c r="K21" s="68" t="str">
        <f t="shared" si="0"/>
        <v>08 marzo 2026 - 14 marzo 2026</v>
      </c>
      <c r="L21" s="113" t="s">
        <v>27</v>
      </c>
      <c r="M21" s="114"/>
      <c r="N21" s="115"/>
    </row>
    <row r="22" spans="2:14" hidden="1">
      <c r="B22" s="44" t="s">
        <v>35</v>
      </c>
      <c r="C22" s="63">
        <v>0.02</v>
      </c>
      <c r="D22" s="63">
        <v>0.02</v>
      </c>
      <c r="E22" s="63">
        <v>0.02</v>
      </c>
      <c r="F22" s="64"/>
      <c r="G22" s="64"/>
      <c r="H22" s="64"/>
      <c r="I22" s="64"/>
      <c r="J22" s="64"/>
      <c r="K22" s="64"/>
      <c r="L22" s="116" t="s">
        <v>29</v>
      </c>
      <c r="M22" s="117"/>
      <c r="N22" s="118"/>
    </row>
    <row r="23" spans="2:14" hidden="1">
      <c r="B23" s="44" t="s">
        <v>36</v>
      </c>
      <c r="C23" s="64">
        <v>0</v>
      </c>
      <c r="D23" s="64">
        <v>0</v>
      </c>
      <c r="E23" s="64">
        <v>0</v>
      </c>
      <c r="F23" s="64"/>
      <c r="G23" s="64"/>
      <c r="H23" s="64"/>
      <c r="I23" s="64"/>
      <c r="J23" s="64"/>
      <c r="K23" s="64"/>
      <c r="L23" s="119"/>
      <c r="M23" s="120"/>
      <c r="N23" s="121"/>
    </row>
    <row r="24" spans="2:14" hidden="1">
      <c r="B24" s="44" t="s">
        <v>37</v>
      </c>
      <c r="C24" s="55">
        <v>1</v>
      </c>
      <c r="D24" s="55">
        <v>1</v>
      </c>
      <c r="E24" s="55">
        <v>0</v>
      </c>
      <c r="F24" s="55"/>
      <c r="G24" s="55"/>
      <c r="H24" s="55"/>
      <c r="I24" s="55"/>
      <c r="J24" s="55"/>
      <c r="K24" s="55"/>
      <c r="L24" s="119"/>
      <c r="M24" s="120"/>
      <c r="N24" s="121"/>
    </row>
    <row r="25" spans="2:14" ht="15.95" hidden="1" thickBot="1">
      <c r="B25" s="44" t="s">
        <v>31</v>
      </c>
      <c r="C25" s="55" t="s">
        <v>32</v>
      </c>
      <c r="D25" s="55" t="s">
        <v>32</v>
      </c>
      <c r="E25" s="55" t="s">
        <v>33</v>
      </c>
      <c r="F25" s="55"/>
      <c r="G25" s="55"/>
      <c r="H25" s="55"/>
      <c r="I25" s="55"/>
      <c r="J25" s="55"/>
      <c r="K25" s="55"/>
      <c r="L25" s="119"/>
      <c r="M25" s="120"/>
      <c r="N25" s="121"/>
    </row>
    <row r="26" spans="2:14" ht="48" customHeight="1">
      <c r="B26" s="45" t="s">
        <v>38</v>
      </c>
      <c r="C26" s="46" t="str">
        <f>C17</f>
        <v>11 enero 2026 - 17 enero 2026</v>
      </c>
      <c r="D26" s="46" t="str">
        <f>D17</f>
        <v>18 enero 2026 - 24 enero 2026</v>
      </c>
      <c r="E26" s="46" t="str">
        <f>E17</f>
        <v>25 enero 2026 - 31 enero 2026</v>
      </c>
      <c r="F26" s="46" t="str">
        <f>F17</f>
        <v>01 febrero 2026 - 07 febrero 2026</v>
      </c>
      <c r="G26" s="46" t="str">
        <f>G21</f>
        <v>08 febrero 2026 - 14 febrero 2026</v>
      </c>
      <c r="H26" s="68" t="str">
        <f>H17</f>
        <v>15 febrero 2026 - 21 febrero 2026</v>
      </c>
      <c r="I26" s="68" t="str">
        <f>I17</f>
        <v>22 febrero 2026 - 28 febrero 2026</v>
      </c>
      <c r="J26" s="68" t="str">
        <f>J17</f>
        <v>01 marzo 2026 - 07 marzo 2026</v>
      </c>
      <c r="K26" s="68" t="str">
        <f>K17</f>
        <v>08 marzo 2026 - 14 marzo 2026</v>
      </c>
      <c r="L26" s="113" t="s">
        <v>27</v>
      </c>
      <c r="M26" s="114"/>
      <c r="N26" s="115"/>
    </row>
    <row r="27" spans="2:14">
      <c r="B27" s="44" t="s">
        <v>39</v>
      </c>
      <c r="C27" s="63">
        <v>0.02</v>
      </c>
      <c r="D27" s="63">
        <v>0.02</v>
      </c>
      <c r="E27" s="63">
        <v>0.02</v>
      </c>
      <c r="F27" s="63">
        <v>0.02</v>
      </c>
      <c r="G27" s="63">
        <v>0.02</v>
      </c>
      <c r="H27" s="63">
        <v>0.02</v>
      </c>
      <c r="I27" s="63">
        <v>0.02</v>
      </c>
      <c r="J27" s="63">
        <v>0.02</v>
      </c>
      <c r="K27" s="63">
        <v>0.02</v>
      </c>
      <c r="L27" s="116" t="s">
        <v>29</v>
      </c>
      <c r="M27" s="117"/>
      <c r="N27" s="118"/>
    </row>
    <row r="28" spans="2:14">
      <c r="B28" s="44" t="s">
        <v>40</v>
      </c>
      <c r="C28" s="64">
        <v>0</v>
      </c>
      <c r="D28" s="64">
        <v>0</v>
      </c>
      <c r="E28" s="64">
        <v>0</v>
      </c>
      <c r="F28" s="64">
        <v>0</v>
      </c>
      <c r="G28" s="64">
        <v>0</v>
      </c>
      <c r="H28" s="64">
        <v>0</v>
      </c>
      <c r="I28" s="64">
        <v>0</v>
      </c>
      <c r="J28" s="64">
        <v>0</v>
      </c>
      <c r="K28" s="64">
        <v>0</v>
      </c>
      <c r="L28" s="119"/>
      <c r="M28" s="120"/>
      <c r="N28" s="121"/>
    </row>
    <row r="29" spans="2:14">
      <c r="B29" s="44" t="s">
        <v>37</v>
      </c>
      <c r="C29" s="55">
        <v>1</v>
      </c>
      <c r="D29" s="55">
        <v>1</v>
      </c>
      <c r="E29" s="55">
        <v>0</v>
      </c>
      <c r="F29" s="55">
        <v>0</v>
      </c>
      <c r="G29" s="55">
        <v>0</v>
      </c>
      <c r="H29" s="55">
        <v>0</v>
      </c>
      <c r="I29" s="55">
        <v>0</v>
      </c>
      <c r="J29" s="55">
        <v>0</v>
      </c>
      <c r="K29" s="55">
        <v>0</v>
      </c>
      <c r="L29" s="119"/>
      <c r="M29" s="120"/>
      <c r="N29" s="121"/>
    </row>
    <row r="30" spans="2:14" ht="15.95" thickBot="1">
      <c r="B30" s="44" t="s">
        <v>31</v>
      </c>
      <c r="C30" s="55" t="s">
        <v>32</v>
      </c>
      <c r="D30" s="55" t="s">
        <v>32</v>
      </c>
      <c r="E30" s="55" t="s">
        <v>33</v>
      </c>
      <c r="F30" s="55" t="s">
        <v>33</v>
      </c>
      <c r="G30" s="55" t="s">
        <v>33</v>
      </c>
      <c r="H30" s="55" t="s">
        <v>33</v>
      </c>
      <c r="I30" s="55" t="s">
        <v>33</v>
      </c>
      <c r="J30" s="55" t="s">
        <v>33</v>
      </c>
      <c r="K30" s="55" t="s">
        <v>33</v>
      </c>
      <c r="L30" s="119"/>
      <c r="M30" s="120"/>
      <c r="N30" s="121"/>
    </row>
    <row r="31" spans="2:14" ht="53.1" customHeight="1">
      <c r="B31" s="45" t="s">
        <v>41</v>
      </c>
      <c r="C31" s="46" t="str">
        <f>C17</f>
        <v>11 enero 2026 - 17 enero 2026</v>
      </c>
      <c r="D31" s="46" t="str">
        <f t="shared" ref="D31:K31" si="1">D17</f>
        <v>18 enero 2026 - 24 enero 2026</v>
      </c>
      <c r="E31" s="46" t="str">
        <f t="shared" si="1"/>
        <v>25 enero 2026 - 31 enero 2026</v>
      </c>
      <c r="F31" s="46" t="str">
        <f t="shared" si="1"/>
        <v>01 febrero 2026 - 07 febrero 2026</v>
      </c>
      <c r="G31" s="46" t="str">
        <f t="shared" si="1"/>
        <v>08 febrero 2026 - 14 febrero 2026</v>
      </c>
      <c r="H31" s="68" t="str">
        <f t="shared" si="1"/>
        <v>15 febrero 2026 - 21 febrero 2026</v>
      </c>
      <c r="I31" s="68" t="str">
        <f t="shared" si="1"/>
        <v>22 febrero 2026 - 28 febrero 2026</v>
      </c>
      <c r="J31" s="68" t="str">
        <f t="shared" si="1"/>
        <v>01 marzo 2026 - 07 marzo 2026</v>
      </c>
      <c r="K31" s="68" t="str">
        <f t="shared" si="1"/>
        <v>08 marzo 2026 - 14 marzo 2026</v>
      </c>
      <c r="L31" s="113" t="s">
        <v>27</v>
      </c>
      <c r="M31" s="114"/>
      <c r="N31" s="115"/>
    </row>
    <row r="32" spans="2:14">
      <c r="B32" s="44" t="s">
        <v>42</v>
      </c>
      <c r="C32" s="57">
        <v>0.95</v>
      </c>
      <c r="D32" s="57">
        <v>0.95</v>
      </c>
      <c r="E32" s="57">
        <v>0.95</v>
      </c>
      <c r="F32" s="57">
        <v>0.95</v>
      </c>
      <c r="G32" s="57">
        <v>0.95</v>
      </c>
      <c r="H32" s="57">
        <v>0.95</v>
      </c>
      <c r="I32" s="57">
        <v>0.95</v>
      </c>
      <c r="J32" s="57">
        <v>0.95</v>
      </c>
      <c r="K32" s="57">
        <v>0.95</v>
      </c>
      <c r="L32" s="116" t="s">
        <v>29</v>
      </c>
      <c r="M32" s="117"/>
      <c r="N32" s="118"/>
    </row>
    <row r="33" spans="2:14">
      <c r="B33" s="44" t="s">
        <v>43</v>
      </c>
      <c r="C33" s="57" t="s">
        <v>44</v>
      </c>
      <c r="D33" s="57" t="s">
        <v>44</v>
      </c>
      <c r="E33" s="57">
        <v>0.8</v>
      </c>
      <c r="F33" s="57">
        <v>0.56000000000000005</v>
      </c>
      <c r="G33" s="57">
        <v>1</v>
      </c>
      <c r="H33" s="57">
        <v>1</v>
      </c>
      <c r="I33" s="57">
        <v>0.76</v>
      </c>
      <c r="J33" s="57">
        <v>0.4</v>
      </c>
      <c r="K33" s="62">
        <v>1</v>
      </c>
      <c r="L33" s="119"/>
      <c r="M33" s="120"/>
      <c r="N33" s="121"/>
    </row>
    <row r="34" spans="2:14" ht="15.95" thickBot="1">
      <c r="B34" s="44" t="s">
        <v>31</v>
      </c>
      <c r="C34" s="55" t="s">
        <v>33</v>
      </c>
      <c r="D34" s="55" t="s">
        <v>33</v>
      </c>
      <c r="E34" s="55" t="s">
        <v>32</v>
      </c>
      <c r="F34" s="55" t="s">
        <v>32</v>
      </c>
      <c r="G34" s="55" t="s">
        <v>33</v>
      </c>
      <c r="H34" s="55" t="s">
        <v>33</v>
      </c>
      <c r="I34" s="55" t="s">
        <v>32</v>
      </c>
      <c r="J34" s="55" t="s">
        <v>32</v>
      </c>
      <c r="K34" s="55" t="s">
        <v>33</v>
      </c>
      <c r="L34" s="119"/>
      <c r="M34" s="120"/>
      <c r="N34" s="121"/>
    </row>
    <row r="35" spans="2:14" ht="31.5" customHeight="1" thickBot="1">
      <c r="B35" s="70" t="s">
        <v>45</v>
      </c>
      <c r="C35" s="71"/>
      <c r="D35" s="71"/>
      <c r="E35" s="71"/>
      <c r="F35" s="71"/>
      <c r="G35" s="71"/>
      <c r="H35" s="71"/>
      <c r="I35" s="71"/>
      <c r="J35" s="71"/>
      <c r="K35" s="71"/>
      <c r="L35" s="71"/>
      <c r="M35" s="71"/>
      <c r="N35" s="72"/>
    </row>
    <row r="36" spans="2:14" ht="19.5" customHeight="1" thickBot="1">
      <c r="B36" s="93" t="s">
        <v>46</v>
      </c>
      <c r="C36" s="94"/>
      <c r="D36" s="94"/>
      <c r="E36" s="94"/>
      <c r="F36" s="94"/>
      <c r="G36" s="94"/>
      <c r="H36" s="94"/>
      <c r="I36" s="95"/>
      <c r="J36" s="17"/>
      <c r="K36" s="94" t="s">
        <v>47</v>
      </c>
      <c r="L36" s="94"/>
      <c r="M36" s="94"/>
      <c r="N36" s="95"/>
    </row>
    <row r="37" spans="2:14" ht="70.5" customHeight="1">
      <c r="B37" s="20" t="s">
        <v>48</v>
      </c>
      <c r="C37" s="122" t="s">
        <v>49</v>
      </c>
      <c r="D37" s="122"/>
      <c r="E37" s="122"/>
      <c r="F37" s="122"/>
      <c r="G37" s="122"/>
      <c r="H37" s="122"/>
      <c r="I37" s="18"/>
      <c r="J37" s="19" t="s">
        <v>48</v>
      </c>
      <c r="K37" s="123" t="s">
        <v>50</v>
      </c>
      <c r="L37" s="123"/>
      <c r="M37" s="123"/>
      <c r="N37" s="124"/>
    </row>
    <row r="38" spans="2:14" ht="60" customHeight="1">
      <c r="B38" s="20" t="s">
        <v>51</v>
      </c>
      <c r="C38" s="125" t="s">
        <v>52</v>
      </c>
      <c r="D38" s="125"/>
      <c r="E38" s="125"/>
      <c r="F38" s="125"/>
      <c r="G38" s="125"/>
      <c r="H38" s="125"/>
      <c r="I38" s="18"/>
      <c r="J38" s="19" t="s">
        <v>51</v>
      </c>
      <c r="K38" s="126" t="s">
        <v>53</v>
      </c>
      <c r="L38" s="126"/>
      <c r="M38" s="126"/>
      <c r="N38" s="127"/>
    </row>
    <row r="39" spans="2:14" ht="96" customHeight="1">
      <c r="B39" s="20" t="s">
        <v>54</v>
      </c>
      <c r="C39" s="125" t="s">
        <v>55</v>
      </c>
      <c r="D39" s="125"/>
      <c r="E39" s="125"/>
      <c r="F39" s="125"/>
      <c r="G39" s="125"/>
      <c r="H39" s="125"/>
      <c r="I39" s="18"/>
      <c r="J39" s="19" t="s">
        <v>54</v>
      </c>
      <c r="K39" s="126" t="s">
        <v>56</v>
      </c>
      <c r="L39" s="126"/>
      <c r="M39" s="126"/>
      <c r="N39" s="127"/>
    </row>
    <row r="40" spans="2:14" ht="60" customHeight="1">
      <c r="B40" s="20" t="s">
        <v>57</v>
      </c>
      <c r="C40" s="125" t="s">
        <v>58</v>
      </c>
      <c r="D40" s="125"/>
      <c r="E40" s="125"/>
      <c r="F40" s="125"/>
      <c r="G40" s="125"/>
      <c r="H40" s="125"/>
      <c r="I40" s="18"/>
      <c r="J40" s="19" t="s">
        <v>57</v>
      </c>
      <c r="K40" s="126" t="s">
        <v>59</v>
      </c>
      <c r="L40" s="126"/>
      <c r="M40" s="126"/>
      <c r="N40" s="127"/>
    </row>
    <row r="41" spans="2:14" ht="87.6" customHeight="1" thickBot="1">
      <c r="B41" s="21" t="s">
        <v>60</v>
      </c>
      <c r="C41" s="128" t="s">
        <v>61</v>
      </c>
      <c r="D41" s="128"/>
      <c r="E41" s="128"/>
      <c r="F41" s="128"/>
      <c r="G41" s="128"/>
      <c r="H41" s="128"/>
      <c r="I41" s="22"/>
      <c r="J41" s="23" t="s">
        <v>60</v>
      </c>
      <c r="K41" s="129" t="s">
        <v>62</v>
      </c>
      <c r="L41" s="129"/>
      <c r="M41" s="129"/>
      <c r="N41" s="130"/>
    </row>
    <row r="42" spans="2:14" ht="21.75" customHeight="1" thickBot="1">
      <c r="B42" s="70" t="s">
        <v>63</v>
      </c>
      <c r="C42" s="71"/>
      <c r="D42" s="71"/>
      <c r="E42" s="71"/>
      <c r="F42" s="71"/>
      <c r="G42" s="71"/>
      <c r="H42" s="71"/>
      <c r="I42" s="71"/>
      <c r="J42" s="71"/>
      <c r="K42" s="71"/>
      <c r="L42" s="71"/>
      <c r="M42" s="71"/>
      <c r="N42" s="72"/>
    </row>
    <row r="43" spans="2:14" ht="15.75" customHeight="1" thickBot="1">
      <c r="B43" s="93" t="s">
        <v>46</v>
      </c>
      <c r="C43" s="94"/>
      <c r="D43" s="94"/>
      <c r="E43" s="94"/>
      <c r="F43" s="94"/>
      <c r="G43" s="94"/>
      <c r="H43" s="94"/>
      <c r="I43" s="95"/>
      <c r="J43" s="93" t="s">
        <v>47</v>
      </c>
      <c r="K43" s="94"/>
      <c r="L43" s="94"/>
      <c r="M43" s="94"/>
      <c r="N43" s="95"/>
    </row>
    <row r="44" spans="2:14" ht="66" customHeight="1">
      <c r="B44" s="20" t="s">
        <v>48</v>
      </c>
      <c r="C44" s="122" t="s">
        <v>64</v>
      </c>
      <c r="D44" s="122"/>
      <c r="E44" s="122"/>
      <c r="F44" s="122"/>
      <c r="G44" s="122"/>
      <c r="H44" s="122"/>
      <c r="I44" s="24"/>
      <c r="J44" s="19" t="s">
        <v>48</v>
      </c>
      <c r="K44" s="123" t="s">
        <v>65</v>
      </c>
      <c r="L44" s="123"/>
      <c r="M44" s="123"/>
      <c r="N44" s="124"/>
    </row>
    <row r="45" spans="2:14" ht="51" customHeight="1">
      <c r="B45" s="20" t="s">
        <v>66</v>
      </c>
      <c r="C45" s="122" t="s">
        <v>67</v>
      </c>
      <c r="D45" s="122"/>
      <c r="E45" s="122"/>
      <c r="F45" s="122"/>
      <c r="G45" s="122"/>
      <c r="H45" s="122"/>
      <c r="I45" s="24"/>
      <c r="J45" s="19" t="s">
        <v>66</v>
      </c>
      <c r="K45" s="126" t="s">
        <v>68</v>
      </c>
      <c r="L45" s="126"/>
      <c r="M45" s="126"/>
      <c r="N45" s="127"/>
    </row>
    <row r="46" spans="2:14" ht="87" customHeight="1" thickBot="1">
      <c r="B46" s="21" t="s">
        <v>54</v>
      </c>
      <c r="C46" s="131" t="s">
        <v>69</v>
      </c>
      <c r="D46" s="131"/>
      <c r="E46" s="131"/>
      <c r="F46" s="131"/>
      <c r="G46" s="131"/>
      <c r="H46" s="131"/>
      <c r="I46" s="25"/>
      <c r="J46" s="23" t="s">
        <v>54</v>
      </c>
      <c r="K46" s="129" t="s">
        <v>70</v>
      </c>
      <c r="L46" s="129"/>
      <c r="M46" s="129"/>
      <c r="N46" s="130"/>
    </row>
    <row r="47" spans="2:14" ht="15.95" thickBot="1">
      <c r="B47" s="138" t="s">
        <v>71</v>
      </c>
      <c r="C47" s="139"/>
      <c r="D47" s="139"/>
      <c r="E47" s="139"/>
      <c r="F47" s="139"/>
      <c r="G47" s="139"/>
      <c r="H47" s="139"/>
      <c r="I47" s="139"/>
      <c r="J47" s="139"/>
      <c r="K47" s="139"/>
      <c r="L47" s="139"/>
      <c r="M47" s="139"/>
      <c r="N47" s="140"/>
    </row>
    <row r="48" spans="2:14" ht="15.95" thickBot="1">
      <c r="B48" s="93" t="s">
        <v>46</v>
      </c>
      <c r="C48" s="94"/>
      <c r="D48" s="94"/>
      <c r="E48" s="94"/>
      <c r="F48" s="94"/>
      <c r="G48" s="94"/>
      <c r="H48" s="94"/>
      <c r="I48" s="95"/>
      <c r="J48" s="93" t="s">
        <v>47</v>
      </c>
      <c r="K48" s="94"/>
      <c r="L48" s="94"/>
      <c r="M48" s="94"/>
      <c r="N48" s="95"/>
    </row>
    <row r="49" spans="2:14" ht="51.75" customHeight="1" thickBot="1">
      <c r="B49" s="26" t="s">
        <v>48</v>
      </c>
      <c r="C49" s="141" t="s">
        <v>72</v>
      </c>
      <c r="D49" s="141"/>
      <c r="E49" s="141"/>
      <c r="F49" s="141"/>
      <c r="G49" s="141"/>
      <c r="H49" s="141"/>
      <c r="I49" s="41"/>
      <c r="J49" s="27"/>
      <c r="K49" s="28" t="s">
        <v>48</v>
      </c>
      <c r="L49" s="141" t="s">
        <v>73</v>
      </c>
      <c r="M49" s="141"/>
      <c r="N49" s="142"/>
    </row>
    <row r="50" spans="2:14">
      <c r="B50" s="29"/>
      <c r="C50" s="58"/>
      <c r="D50" s="58"/>
      <c r="E50" s="58"/>
      <c r="F50" s="58"/>
      <c r="G50" s="58"/>
      <c r="H50" s="30"/>
      <c r="I50" s="30"/>
      <c r="J50" s="30"/>
      <c r="K50" s="30"/>
      <c r="L50" s="30"/>
      <c r="M50" s="30"/>
      <c r="N50" s="31"/>
    </row>
    <row r="51" spans="2:14" ht="30" customHeight="1" thickBot="1">
      <c r="B51" s="32"/>
      <c r="C51" s="59"/>
      <c r="D51" s="59"/>
      <c r="E51" s="59"/>
      <c r="F51" s="59"/>
      <c r="G51" s="59"/>
      <c r="J51" s="33"/>
      <c r="K51" s="33"/>
      <c r="L51" s="33"/>
      <c r="M51" s="143"/>
      <c r="N51" s="144"/>
    </row>
    <row r="52" spans="2:14" ht="15.95" thickTop="1">
      <c r="B52" s="34"/>
      <c r="C52" s="132" t="str">
        <f>C4</f>
        <v>Rodrigo Herrera</v>
      </c>
      <c r="D52" s="132"/>
      <c r="E52" s="132"/>
      <c r="F52" s="132"/>
      <c r="G52" s="60"/>
      <c r="H52" s="35"/>
      <c r="I52" s="35"/>
      <c r="J52" s="35"/>
      <c r="K52" s="35"/>
      <c r="L52" s="36"/>
      <c r="M52" s="133" t="s">
        <v>7</v>
      </c>
      <c r="N52" s="134"/>
    </row>
    <row r="53" spans="2:14" ht="28.5" customHeight="1" thickBot="1">
      <c r="B53" s="37"/>
      <c r="C53" s="135" t="s">
        <v>74</v>
      </c>
      <c r="D53" s="135"/>
      <c r="E53" s="135"/>
      <c r="F53" s="135"/>
      <c r="G53" s="61"/>
      <c r="H53" s="38"/>
      <c r="I53" s="38"/>
      <c r="J53" s="38"/>
      <c r="K53" s="38"/>
      <c r="L53" s="39"/>
      <c r="M53" s="136" t="s">
        <v>75</v>
      </c>
      <c r="N53" s="137"/>
    </row>
  </sheetData>
  <mergeCells count="54">
    <mergeCell ref="C52:F52"/>
    <mergeCell ref="M52:N52"/>
    <mergeCell ref="C53:F53"/>
    <mergeCell ref="M53:N53"/>
    <mergeCell ref="B47:N47"/>
    <mergeCell ref="B48:I48"/>
    <mergeCell ref="J48:N48"/>
    <mergeCell ref="C49:H49"/>
    <mergeCell ref="L49:N49"/>
    <mergeCell ref="M51:N51"/>
    <mergeCell ref="C44:H44"/>
    <mergeCell ref="K44:N44"/>
    <mergeCell ref="C45:H45"/>
    <mergeCell ref="K45:N45"/>
    <mergeCell ref="C46:H46"/>
    <mergeCell ref="K46:N46"/>
    <mergeCell ref="B43:I43"/>
    <mergeCell ref="J43:N43"/>
    <mergeCell ref="C37:H37"/>
    <mergeCell ref="K37:N37"/>
    <mergeCell ref="C38:H38"/>
    <mergeCell ref="K38:N38"/>
    <mergeCell ref="C39:H39"/>
    <mergeCell ref="K39:N39"/>
    <mergeCell ref="C40:H40"/>
    <mergeCell ref="K40:N40"/>
    <mergeCell ref="C41:H41"/>
    <mergeCell ref="K41:N41"/>
    <mergeCell ref="B42:N42"/>
    <mergeCell ref="B36:I36"/>
    <mergeCell ref="K36:N36"/>
    <mergeCell ref="L15:N15"/>
    <mergeCell ref="B16:B17"/>
    <mergeCell ref="L16:N17"/>
    <mergeCell ref="L18:N20"/>
    <mergeCell ref="L21:N21"/>
    <mergeCell ref="L22:N25"/>
    <mergeCell ref="L26:N26"/>
    <mergeCell ref="L27:N30"/>
    <mergeCell ref="L31:N31"/>
    <mergeCell ref="L32:N34"/>
    <mergeCell ref="B35:N35"/>
    <mergeCell ref="B8:N8"/>
    <mergeCell ref="B9:N11"/>
    <mergeCell ref="B12:N12"/>
    <mergeCell ref="B13:N13"/>
    <mergeCell ref="B14:F14"/>
    <mergeCell ref="H14:N14"/>
    <mergeCell ref="J7:L7"/>
    <mergeCell ref="B2:N2"/>
    <mergeCell ref="C4:E4"/>
    <mergeCell ref="J4:L4"/>
    <mergeCell ref="C6:E6"/>
    <mergeCell ref="J6:L6"/>
  </mergeCells>
  <phoneticPr fontId="9" type="noConversion"/>
  <conditionalFormatting sqref="C20:K20">
    <cfRule type="cellIs" dxfId="23" priority="1" operator="equal">
      <formula>"no cumple"</formula>
    </cfRule>
    <cfRule type="cellIs" dxfId="22" priority="2" operator="equal">
      <formula>"cumple"</formula>
    </cfRule>
  </conditionalFormatting>
  <conditionalFormatting sqref="C25:K25">
    <cfRule type="cellIs" dxfId="21" priority="7" operator="equal">
      <formula>"no cumple"</formula>
    </cfRule>
    <cfRule type="cellIs" dxfId="20" priority="8" operator="equal">
      <formula>"cumple"</formula>
    </cfRule>
  </conditionalFormatting>
  <conditionalFormatting sqref="C30:K30">
    <cfRule type="cellIs" dxfId="19" priority="3" operator="equal">
      <formula>"no cumple"</formula>
    </cfRule>
    <cfRule type="cellIs" dxfId="18" priority="4" operator="equal">
      <formula>"cumple"</formula>
    </cfRule>
  </conditionalFormatting>
  <conditionalFormatting sqref="C34:K34">
    <cfRule type="cellIs" dxfId="17" priority="5" operator="equal">
      <formula>"no cumple"</formula>
    </cfRule>
    <cfRule type="cellIs" dxfId="16" priority="6" operator="equal">
      <formula>"cumple"</formula>
    </cfRule>
  </conditionalFormatting>
  <pageMargins left="0" right="0" top="0" bottom="0" header="0.3" footer="0.3"/>
  <pageSetup scale="38"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E491DED-D7A9-4116-AD47-5969A24D4BB8}">
          <x14:formula1>
            <xm:f>Sheet2!$A$1:$A$53</xm:f>
          </x14:formula1>
          <xm:sqref>C16:K16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9B507-1ACD-491F-B6FE-91E2552098A2}">
  <sheetPr>
    <tabColor theme="5" tint="0.39997558519241921"/>
  </sheetPr>
  <dimension ref="B1:N53"/>
  <sheetViews>
    <sheetView showGridLines="0" topLeftCell="C1" zoomScale="55" zoomScaleNormal="55" workbookViewId="0">
      <selection activeCell="C4" sqref="C4:E4"/>
    </sheetView>
  </sheetViews>
  <sheetFormatPr defaultColWidth="9.140625" defaultRowHeight="15.6"/>
  <cols>
    <col min="1" max="1" width="2" style="11" customWidth="1"/>
    <col min="2" max="2" width="68.85546875" style="11" customWidth="1"/>
    <col min="3" max="7" width="21.5703125" style="48" customWidth="1"/>
    <col min="8" max="12" width="29" style="11" customWidth="1"/>
    <col min="13" max="14" width="17.7109375" style="11" customWidth="1"/>
    <col min="15" max="16384" width="9.140625" style="11"/>
  </cols>
  <sheetData>
    <row r="1" spans="2:14" ht="7.5" customHeight="1" thickBot="1"/>
    <row r="2" spans="2:14" ht="24.75" customHeight="1" thickBot="1">
      <c r="B2" s="70" t="s">
        <v>1</v>
      </c>
      <c r="C2" s="71"/>
      <c r="D2" s="71"/>
      <c r="E2" s="71"/>
      <c r="F2" s="71"/>
      <c r="G2" s="71"/>
      <c r="H2" s="71"/>
      <c r="I2" s="71"/>
      <c r="J2" s="71"/>
      <c r="K2" s="71"/>
      <c r="L2" s="71"/>
      <c r="M2" s="71"/>
      <c r="N2" s="72"/>
    </row>
    <row r="3" spans="2:14">
      <c r="B3" s="12"/>
      <c r="C3" s="49"/>
      <c r="D3" s="49"/>
      <c r="E3" s="49"/>
      <c r="F3" s="49"/>
      <c r="G3" s="49"/>
      <c r="H3" s="13"/>
      <c r="I3" s="13"/>
      <c r="J3" s="13"/>
      <c r="K3" s="13"/>
      <c r="L3" s="13"/>
      <c r="M3" s="13"/>
      <c r="N3" s="14"/>
    </row>
    <row r="4" spans="2:14">
      <c r="B4" s="1" t="s">
        <v>2</v>
      </c>
      <c r="C4" s="73" t="s">
        <v>3</v>
      </c>
      <c r="D4" s="74"/>
      <c r="E4" s="75"/>
      <c r="F4" s="50"/>
      <c r="G4" s="50"/>
      <c r="H4" s="2"/>
      <c r="I4" s="2" t="s">
        <v>4</v>
      </c>
      <c r="J4" s="76" t="s">
        <v>76</v>
      </c>
      <c r="K4" s="77"/>
      <c r="L4" s="78"/>
      <c r="M4" s="43"/>
      <c r="N4" s="4"/>
    </row>
    <row r="5" spans="2:14">
      <c r="B5" s="5"/>
      <c r="C5" s="51"/>
      <c r="D5" s="51"/>
      <c r="E5" s="51"/>
      <c r="F5" s="51"/>
      <c r="G5" s="51"/>
      <c r="H5" s="3"/>
      <c r="I5" s="3"/>
      <c r="J5" s="3"/>
      <c r="K5" s="3"/>
      <c r="L5" s="3"/>
      <c r="M5" s="3"/>
      <c r="N5" s="6"/>
    </row>
    <row r="6" spans="2:14">
      <c r="B6" s="1" t="s">
        <v>6</v>
      </c>
      <c r="C6" s="73" t="s">
        <v>7</v>
      </c>
      <c r="D6" s="74"/>
      <c r="E6" s="75"/>
      <c r="F6" s="52"/>
      <c r="G6" s="52"/>
      <c r="H6" s="3"/>
      <c r="I6" s="2" t="s">
        <v>8</v>
      </c>
      <c r="J6" s="76" t="s">
        <v>77</v>
      </c>
      <c r="K6" s="77"/>
      <c r="L6" s="78"/>
      <c r="M6" s="43"/>
      <c r="N6" s="15"/>
    </row>
    <row r="7" spans="2:14" ht="18" customHeight="1" thickBot="1">
      <c r="B7" s="7"/>
      <c r="C7" s="53"/>
      <c r="D7" s="53"/>
      <c r="E7" s="53"/>
      <c r="F7" s="53"/>
      <c r="G7" s="53"/>
      <c r="H7" s="8"/>
      <c r="I7" s="8"/>
      <c r="J7" s="69"/>
      <c r="K7" s="69"/>
      <c r="L7" s="69"/>
      <c r="M7" s="9"/>
      <c r="N7" s="10"/>
    </row>
    <row r="8" spans="2:14" ht="15.95" thickBot="1">
      <c r="B8" s="70" t="s">
        <v>10</v>
      </c>
      <c r="C8" s="71"/>
      <c r="D8" s="71"/>
      <c r="E8" s="71"/>
      <c r="F8" s="71"/>
      <c r="G8" s="71"/>
      <c r="H8" s="71"/>
      <c r="I8" s="71"/>
      <c r="J8" s="71"/>
      <c r="K8" s="71"/>
      <c r="L8" s="71"/>
      <c r="M8" s="71"/>
      <c r="N8" s="72"/>
    </row>
    <row r="9" spans="2:14">
      <c r="B9" s="79" t="s">
        <v>11</v>
      </c>
      <c r="C9" s="80"/>
      <c r="D9" s="80"/>
      <c r="E9" s="80"/>
      <c r="F9" s="80"/>
      <c r="G9" s="80"/>
      <c r="H9" s="80"/>
      <c r="I9" s="80"/>
      <c r="J9" s="80"/>
      <c r="K9" s="80"/>
      <c r="L9" s="80"/>
      <c r="M9" s="80"/>
      <c r="N9" s="81"/>
    </row>
    <row r="10" spans="2:14">
      <c r="B10" s="82"/>
      <c r="C10" s="83"/>
      <c r="D10" s="83"/>
      <c r="E10" s="83"/>
      <c r="F10" s="83"/>
      <c r="G10" s="83"/>
      <c r="H10" s="83"/>
      <c r="I10" s="83"/>
      <c r="J10" s="83"/>
      <c r="K10" s="83"/>
      <c r="L10" s="83"/>
      <c r="M10" s="83"/>
      <c r="N10" s="84"/>
    </row>
    <row r="11" spans="2:14" ht="70.5" customHeight="1" thickBot="1">
      <c r="B11" s="82"/>
      <c r="C11" s="83"/>
      <c r="D11" s="83"/>
      <c r="E11" s="83"/>
      <c r="F11" s="83"/>
      <c r="G11" s="83"/>
      <c r="H11" s="83"/>
      <c r="I11" s="83"/>
      <c r="J11" s="83"/>
      <c r="K11" s="83"/>
      <c r="L11" s="83"/>
      <c r="M11" s="83"/>
      <c r="N11" s="84"/>
    </row>
    <row r="12" spans="2:14" ht="15.95" thickBot="1">
      <c r="B12" s="70" t="s">
        <v>12</v>
      </c>
      <c r="C12" s="71"/>
      <c r="D12" s="71"/>
      <c r="E12" s="71"/>
      <c r="F12" s="71"/>
      <c r="G12" s="71"/>
      <c r="H12" s="71"/>
      <c r="I12" s="71"/>
      <c r="J12" s="71"/>
      <c r="K12" s="71"/>
      <c r="L12" s="71"/>
      <c r="M12" s="71"/>
      <c r="N12" s="72"/>
    </row>
    <row r="13" spans="2:14" ht="48" customHeight="1" thickBot="1">
      <c r="B13" s="85" t="s">
        <v>13</v>
      </c>
      <c r="C13" s="86"/>
      <c r="D13" s="86"/>
      <c r="E13" s="86"/>
      <c r="F13" s="86"/>
      <c r="G13" s="86"/>
      <c r="H13" s="86"/>
      <c r="I13" s="86"/>
      <c r="J13" s="86"/>
      <c r="K13" s="86"/>
      <c r="L13" s="86"/>
      <c r="M13" s="86"/>
      <c r="N13" s="87"/>
    </row>
    <row r="14" spans="2:14" ht="35.450000000000003" customHeight="1" thickBot="1">
      <c r="B14" s="88" t="s">
        <v>14</v>
      </c>
      <c r="C14" s="89"/>
      <c r="D14" s="89"/>
      <c r="E14" s="89"/>
      <c r="F14" s="89"/>
      <c r="G14" s="47"/>
      <c r="H14" s="90" t="s">
        <v>15</v>
      </c>
      <c r="I14" s="91"/>
      <c r="J14" s="91"/>
      <c r="K14" s="91"/>
      <c r="L14" s="91"/>
      <c r="M14" s="91"/>
      <c r="N14" s="92"/>
    </row>
    <row r="15" spans="2:14">
      <c r="B15" s="42"/>
      <c r="C15" s="54"/>
      <c r="D15" s="54"/>
      <c r="E15" s="54"/>
      <c r="F15" s="54"/>
      <c r="G15" s="54"/>
      <c r="H15" s="16">
        <v>1</v>
      </c>
      <c r="I15" s="16">
        <v>1</v>
      </c>
      <c r="J15" s="16">
        <v>1</v>
      </c>
      <c r="K15" s="16">
        <v>1</v>
      </c>
      <c r="L15" s="96" t="s">
        <v>16</v>
      </c>
      <c r="M15" s="97"/>
      <c r="N15" s="98"/>
    </row>
    <row r="16" spans="2:14" ht="22.5" customHeight="1">
      <c r="B16" s="99" t="s">
        <v>17</v>
      </c>
      <c r="C16" s="67" t="s">
        <v>24</v>
      </c>
      <c r="D16" s="67" t="s">
        <v>25</v>
      </c>
      <c r="E16" s="67" t="s">
        <v>26</v>
      </c>
      <c r="F16" s="67" t="s">
        <v>78</v>
      </c>
      <c r="G16" s="67" t="s">
        <v>79</v>
      </c>
      <c r="H16" s="67" t="s">
        <v>80</v>
      </c>
      <c r="I16" s="67" t="s">
        <v>81</v>
      </c>
      <c r="J16" s="67" t="s">
        <v>82</v>
      </c>
      <c r="K16" s="67" t="s">
        <v>83</v>
      </c>
      <c r="L16" s="101" t="s">
        <v>84</v>
      </c>
      <c r="M16" s="102"/>
      <c r="N16" s="103"/>
    </row>
    <row r="17" spans="2:14" ht="51" customHeight="1">
      <c r="B17" s="100"/>
      <c r="C17" s="46" t="str">
        <f>_xlfn.IFNA(VLOOKUP(C16,Sheet2!$A:$B,2,0),"")</f>
        <v>22 febrero 2026 - 28 febrero 2026</v>
      </c>
      <c r="D17" s="46" t="str">
        <f>_xlfn.IFNA(VLOOKUP(D16,Sheet2!$A:$B,2,0),"")</f>
        <v>01 marzo 2026 - 07 marzo 2026</v>
      </c>
      <c r="E17" s="46" t="str">
        <f>_xlfn.IFNA(VLOOKUP(E16,Sheet2!$A:$B,2,0),"")</f>
        <v>08 marzo 2026 - 14 marzo 2026</v>
      </c>
      <c r="F17" s="46" t="str">
        <f>_xlfn.IFNA(VLOOKUP(F16,Sheet2!$A:$B,2,0),"")</f>
        <v>15 marzo 2026 - 21 marzo 2026</v>
      </c>
      <c r="G17" s="46" t="str">
        <f>_xlfn.IFNA(VLOOKUP(G16,Sheet2!$A:$B,2,0),"")</f>
        <v>22 marzo 2026 - 28 marzo 2026</v>
      </c>
      <c r="H17" s="68" t="str">
        <f>_xlfn.IFNA(VLOOKUP(H16,Sheet2!$A:$B,2,0),"")</f>
        <v>29 marzo 2026 - 04 abril 2026</v>
      </c>
      <c r="I17" s="68" t="str">
        <f>_xlfn.IFNA(VLOOKUP(I16,Sheet2!$A:$B,2,0),"")</f>
        <v>05 abril 2026 - 11 abril 2026</v>
      </c>
      <c r="J17" s="68" t="str">
        <f>_xlfn.IFNA(VLOOKUP(J16,Sheet2!$A:$B,2,0),"")</f>
        <v>12 abril 2026 - 18 abril 2026</v>
      </c>
      <c r="K17" s="68" t="str">
        <f>_xlfn.IFNA(VLOOKUP(K16,Sheet2!$A:$B,2,0),"")</f>
        <v>19 abril 2026 - 25 abril 2026</v>
      </c>
      <c r="L17" s="104"/>
      <c r="M17" s="105"/>
      <c r="N17" s="106"/>
    </row>
    <row r="18" spans="2:14">
      <c r="B18" s="44" t="s">
        <v>28</v>
      </c>
      <c r="C18" s="56">
        <v>8.603133232916429</v>
      </c>
      <c r="D18" s="56">
        <v>8.541625059530201</v>
      </c>
      <c r="E18" s="56">
        <v>8.5698688291607308</v>
      </c>
      <c r="F18" s="56">
        <v>8.4910339725428479</v>
      </c>
      <c r="G18" s="65">
        <v>8.6367328473457405</v>
      </c>
      <c r="H18" s="65">
        <v>8.5164630973911652</v>
      </c>
      <c r="I18" s="65">
        <v>9.3394207543429939</v>
      </c>
      <c r="J18" s="65">
        <v>9.3112391735682642</v>
      </c>
      <c r="K18" s="65">
        <v>9.4371389075957772</v>
      </c>
      <c r="L18" s="107" t="s">
        <v>29</v>
      </c>
      <c r="M18" s="108"/>
      <c r="N18" s="109"/>
    </row>
    <row r="19" spans="2:14">
      <c r="B19" s="44" t="s">
        <v>30</v>
      </c>
      <c r="C19" s="56">
        <v>10.221274773558738</v>
      </c>
      <c r="D19" s="56">
        <v>9.2136031374859613</v>
      </c>
      <c r="E19" s="56">
        <v>9.3930193041588907</v>
      </c>
      <c r="F19" s="56">
        <v>9.8566858836499041</v>
      </c>
      <c r="G19" s="65">
        <v>8.5389155050215066</v>
      </c>
      <c r="H19" s="65">
        <v>8.8100238493574885</v>
      </c>
      <c r="I19" s="65">
        <v>9.162401926228382</v>
      </c>
      <c r="J19" s="65">
        <v>9.0633611337440829</v>
      </c>
      <c r="K19" s="65">
        <v>9.5989184317260037</v>
      </c>
      <c r="L19" s="110"/>
      <c r="M19" s="111"/>
      <c r="N19" s="112"/>
    </row>
    <row r="20" spans="2:14" ht="15.95" thickBot="1">
      <c r="B20" s="44" t="s">
        <v>31</v>
      </c>
      <c r="C20" s="55" t="s">
        <v>33</v>
      </c>
      <c r="D20" s="55" t="s">
        <v>33</v>
      </c>
      <c r="E20" s="55" t="s">
        <v>33</v>
      </c>
      <c r="F20" s="55" t="s">
        <v>33</v>
      </c>
      <c r="G20" s="55" t="s">
        <v>85</v>
      </c>
      <c r="H20" s="55" t="s">
        <v>33</v>
      </c>
      <c r="I20" s="55" t="s">
        <v>85</v>
      </c>
      <c r="J20" s="55" t="s">
        <v>85</v>
      </c>
      <c r="K20" s="55" t="s">
        <v>33</v>
      </c>
      <c r="L20" s="110"/>
      <c r="M20" s="111"/>
      <c r="N20" s="112"/>
    </row>
    <row r="21" spans="2:14" ht="53.1" customHeight="1">
      <c r="B21" s="45" t="s">
        <v>34</v>
      </c>
      <c r="C21" s="46" t="str">
        <f t="shared" ref="C21:K21" si="0">C17</f>
        <v>22 febrero 2026 - 28 febrero 2026</v>
      </c>
      <c r="D21" s="46" t="str">
        <f t="shared" si="0"/>
        <v>01 marzo 2026 - 07 marzo 2026</v>
      </c>
      <c r="E21" s="46" t="str">
        <f t="shared" si="0"/>
        <v>08 marzo 2026 - 14 marzo 2026</v>
      </c>
      <c r="F21" s="46" t="str">
        <f t="shared" si="0"/>
        <v>15 marzo 2026 - 21 marzo 2026</v>
      </c>
      <c r="G21" s="46" t="str">
        <f t="shared" si="0"/>
        <v>22 marzo 2026 - 28 marzo 2026</v>
      </c>
      <c r="H21" s="68" t="str">
        <f t="shared" si="0"/>
        <v>29 marzo 2026 - 04 abril 2026</v>
      </c>
      <c r="I21" s="68" t="str">
        <f t="shared" si="0"/>
        <v>05 abril 2026 - 11 abril 2026</v>
      </c>
      <c r="J21" s="68" t="str">
        <f t="shared" si="0"/>
        <v>12 abril 2026 - 18 abril 2026</v>
      </c>
      <c r="K21" s="68" t="str">
        <f t="shared" si="0"/>
        <v>19 abril 2026 - 25 abril 2026</v>
      </c>
      <c r="L21" s="113" t="s">
        <v>84</v>
      </c>
      <c r="M21" s="114"/>
      <c r="N21" s="115"/>
    </row>
    <row r="22" spans="2:14">
      <c r="B22" s="44" t="s">
        <v>35</v>
      </c>
      <c r="C22" s="64">
        <v>5.7999999999999996E-3</v>
      </c>
      <c r="D22" s="64">
        <v>5.7999999999999996E-3</v>
      </c>
      <c r="E22" s="64">
        <v>5.7999999999999996E-3</v>
      </c>
      <c r="F22" s="64">
        <v>5.7999999999999996E-3</v>
      </c>
      <c r="G22" s="64">
        <v>5.7999999999999996E-3</v>
      </c>
      <c r="H22" s="64">
        <v>5.7999999999999996E-3</v>
      </c>
      <c r="I22" s="64">
        <v>5.7999999999999996E-3</v>
      </c>
      <c r="J22" s="64">
        <v>5.7999999999999996E-3</v>
      </c>
      <c r="K22" s="64">
        <v>5.7999999999999996E-3</v>
      </c>
      <c r="L22" s="116" t="s">
        <v>29</v>
      </c>
      <c r="M22" s="117"/>
      <c r="N22" s="118"/>
    </row>
    <row r="23" spans="2:14">
      <c r="B23" s="44" t="s">
        <v>36</v>
      </c>
      <c r="C23" s="64">
        <v>0</v>
      </c>
      <c r="D23" s="64">
        <v>0</v>
      </c>
      <c r="E23" s="64">
        <v>0</v>
      </c>
      <c r="F23" s="64">
        <v>0</v>
      </c>
      <c r="G23" s="64">
        <v>0</v>
      </c>
      <c r="H23" s="64">
        <v>0</v>
      </c>
      <c r="I23" s="64">
        <v>0</v>
      </c>
      <c r="J23" s="64">
        <v>0</v>
      </c>
      <c r="K23" s="64">
        <v>0</v>
      </c>
      <c r="L23" s="119"/>
      <c r="M23" s="120"/>
      <c r="N23" s="121"/>
    </row>
    <row r="24" spans="2:14">
      <c r="B24" s="44" t="s">
        <v>37</v>
      </c>
      <c r="C24" s="55">
        <v>0</v>
      </c>
      <c r="D24" s="55">
        <v>0</v>
      </c>
      <c r="E24" s="55">
        <v>0</v>
      </c>
      <c r="F24" s="55">
        <v>0</v>
      </c>
      <c r="G24" s="55">
        <v>0</v>
      </c>
      <c r="H24" s="55">
        <v>0</v>
      </c>
      <c r="I24" s="55">
        <v>0</v>
      </c>
      <c r="J24" s="55">
        <v>0</v>
      </c>
      <c r="K24" s="55">
        <v>0</v>
      </c>
      <c r="L24" s="119"/>
      <c r="M24" s="120"/>
      <c r="N24" s="121"/>
    </row>
    <row r="25" spans="2:14" ht="15.95" thickBot="1">
      <c r="B25" s="44" t="s">
        <v>31</v>
      </c>
      <c r="C25" s="55" t="s">
        <v>33</v>
      </c>
      <c r="D25" s="55" t="s">
        <v>33</v>
      </c>
      <c r="E25" s="55" t="s">
        <v>33</v>
      </c>
      <c r="F25" s="55" t="s">
        <v>33</v>
      </c>
      <c r="G25" s="55" t="s">
        <v>33</v>
      </c>
      <c r="H25" s="55" t="s">
        <v>33</v>
      </c>
      <c r="I25" s="55" t="s">
        <v>33</v>
      </c>
      <c r="J25" s="55" t="s">
        <v>33</v>
      </c>
      <c r="K25" s="55" t="s">
        <v>33</v>
      </c>
      <c r="L25" s="119"/>
      <c r="M25" s="120"/>
      <c r="N25" s="121"/>
    </row>
    <row r="26" spans="2:14" ht="48" customHeight="1">
      <c r="B26" s="45" t="s">
        <v>38</v>
      </c>
      <c r="C26" s="46" t="str">
        <f>C17</f>
        <v>22 febrero 2026 - 28 febrero 2026</v>
      </c>
      <c r="D26" s="46" t="str">
        <f>D17</f>
        <v>01 marzo 2026 - 07 marzo 2026</v>
      </c>
      <c r="E26" s="46" t="str">
        <f>E17</f>
        <v>08 marzo 2026 - 14 marzo 2026</v>
      </c>
      <c r="F26" s="46" t="str">
        <f>F17</f>
        <v>15 marzo 2026 - 21 marzo 2026</v>
      </c>
      <c r="G26" s="46" t="str">
        <f>G21</f>
        <v>22 marzo 2026 - 28 marzo 2026</v>
      </c>
      <c r="H26" s="68" t="str">
        <f>H17</f>
        <v>29 marzo 2026 - 04 abril 2026</v>
      </c>
      <c r="I26" s="68" t="str">
        <f>I17</f>
        <v>05 abril 2026 - 11 abril 2026</v>
      </c>
      <c r="J26" s="68" t="str">
        <f>J17</f>
        <v>12 abril 2026 - 18 abril 2026</v>
      </c>
      <c r="K26" s="68" t="str">
        <f>K17</f>
        <v>19 abril 2026 - 25 abril 2026</v>
      </c>
      <c r="L26" s="113" t="s">
        <v>84</v>
      </c>
      <c r="M26" s="114"/>
      <c r="N26" s="115"/>
    </row>
    <row r="27" spans="2:14">
      <c r="B27" s="44" t="s">
        <v>39</v>
      </c>
      <c r="C27" s="63">
        <v>0.02</v>
      </c>
      <c r="D27" s="63">
        <v>0.02</v>
      </c>
      <c r="E27" s="63">
        <v>0.02</v>
      </c>
      <c r="F27" s="63">
        <v>0.02</v>
      </c>
      <c r="G27" s="63">
        <v>0.02</v>
      </c>
      <c r="H27" s="63">
        <v>0.02</v>
      </c>
      <c r="I27" s="63">
        <v>0.02</v>
      </c>
      <c r="J27" s="63">
        <v>0.02</v>
      </c>
      <c r="K27" s="63">
        <v>0.02</v>
      </c>
      <c r="L27" s="116" t="s">
        <v>29</v>
      </c>
      <c r="M27" s="117"/>
      <c r="N27" s="118"/>
    </row>
    <row r="28" spans="2:14">
      <c r="B28" s="44" t="s">
        <v>40</v>
      </c>
      <c r="C28" s="64">
        <v>0</v>
      </c>
      <c r="D28" s="64">
        <v>0</v>
      </c>
      <c r="E28" s="64">
        <v>0</v>
      </c>
      <c r="F28" s="64">
        <v>0</v>
      </c>
      <c r="G28" s="64">
        <v>0</v>
      </c>
      <c r="H28" s="64">
        <v>0</v>
      </c>
      <c r="I28" s="64">
        <v>0</v>
      </c>
      <c r="J28" s="64">
        <v>0</v>
      </c>
      <c r="K28" s="64">
        <v>0</v>
      </c>
      <c r="L28" s="119"/>
      <c r="M28" s="120"/>
      <c r="N28" s="121"/>
    </row>
    <row r="29" spans="2:14">
      <c r="B29" s="44" t="s">
        <v>37</v>
      </c>
      <c r="C29" s="55">
        <v>0</v>
      </c>
      <c r="D29" s="55">
        <v>0</v>
      </c>
      <c r="E29" s="55">
        <v>0</v>
      </c>
      <c r="F29" s="55">
        <v>0</v>
      </c>
      <c r="G29" s="55">
        <v>0</v>
      </c>
      <c r="H29" s="55">
        <v>0</v>
      </c>
      <c r="I29" s="55">
        <v>0</v>
      </c>
      <c r="J29" s="55">
        <v>0</v>
      </c>
      <c r="K29" s="55">
        <v>0</v>
      </c>
      <c r="L29" s="119"/>
      <c r="M29" s="120"/>
      <c r="N29" s="121"/>
    </row>
    <row r="30" spans="2:14" ht="15.95" thickBot="1">
      <c r="B30" s="44" t="s">
        <v>31</v>
      </c>
      <c r="C30" s="55" t="s">
        <v>33</v>
      </c>
      <c r="D30" s="55" t="s">
        <v>33</v>
      </c>
      <c r="E30" s="55" t="s">
        <v>33</v>
      </c>
      <c r="F30" s="55" t="s">
        <v>33</v>
      </c>
      <c r="G30" s="55" t="s">
        <v>33</v>
      </c>
      <c r="H30" s="55" t="s">
        <v>33</v>
      </c>
      <c r="I30" s="55" t="s">
        <v>33</v>
      </c>
      <c r="J30" s="55" t="s">
        <v>33</v>
      </c>
      <c r="K30" s="55" t="s">
        <v>33</v>
      </c>
      <c r="L30" s="119"/>
      <c r="M30" s="120"/>
      <c r="N30" s="121"/>
    </row>
    <row r="31" spans="2:14" ht="53.1" customHeight="1">
      <c r="B31" s="45" t="s">
        <v>41</v>
      </c>
      <c r="C31" s="46" t="str">
        <f>C17</f>
        <v>22 febrero 2026 - 28 febrero 2026</v>
      </c>
      <c r="D31" s="46" t="str">
        <f t="shared" ref="D31:K31" si="1">D17</f>
        <v>01 marzo 2026 - 07 marzo 2026</v>
      </c>
      <c r="E31" s="46" t="str">
        <f t="shared" si="1"/>
        <v>08 marzo 2026 - 14 marzo 2026</v>
      </c>
      <c r="F31" s="46" t="str">
        <f t="shared" si="1"/>
        <v>15 marzo 2026 - 21 marzo 2026</v>
      </c>
      <c r="G31" s="46" t="str">
        <f t="shared" si="1"/>
        <v>22 marzo 2026 - 28 marzo 2026</v>
      </c>
      <c r="H31" s="68" t="str">
        <f t="shared" si="1"/>
        <v>29 marzo 2026 - 04 abril 2026</v>
      </c>
      <c r="I31" s="68" t="str">
        <f t="shared" si="1"/>
        <v>05 abril 2026 - 11 abril 2026</v>
      </c>
      <c r="J31" s="68" t="str">
        <f t="shared" si="1"/>
        <v>12 abril 2026 - 18 abril 2026</v>
      </c>
      <c r="K31" s="68" t="str">
        <f t="shared" si="1"/>
        <v>19 abril 2026 - 25 abril 2026</v>
      </c>
      <c r="L31" s="113" t="s">
        <v>84</v>
      </c>
      <c r="M31" s="114"/>
      <c r="N31" s="115"/>
    </row>
    <row r="32" spans="2:14">
      <c r="B32" s="44" t="s">
        <v>42</v>
      </c>
      <c r="C32" s="57">
        <v>0.95</v>
      </c>
      <c r="D32" s="57">
        <v>0.95</v>
      </c>
      <c r="E32" s="57">
        <v>0.95</v>
      </c>
      <c r="F32" s="57">
        <v>0.95</v>
      </c>
      <c r="G32" s="57">
        <v>0.95</v>
      </c>
      <c r="H32" s="57">
        <v>0.95</v>
      </c>
      <c r="I32" s="57">
        <v>0.95</v>
      </c>
      <c r="J32" s="57">
        <v>0.95</v>
      </c>
      <c r="K32" s="57">
        <v>0.95</v>
      </c>
      <c r="L32" s="116" t="s">
        <v>29</v>
      </c>
      <c r="M32" s="117"/>
      <c r="N32" s="118"/>
    </row>
    <row r="33" spans="2:14">
      <c r="B33" s="44" t="s">
        <v>43</v>
      </c>
      <c r="C33" s="57">
        <v>0.76</v>
      </c>
      <c r="D33" s="57">
        <v>0.4</v>
      </c>
      <c r="E33" s="57">
        <v>1</v>
      </c>
      <c r="F33" s="57">
        <v>0.67999999999999994</v>
      </c>
      <c r="G33" s="57">
        <v>0.92</v>
      </c>
      <c r="H33" s="57">
        <v>1</v>
      </c>
      <c r="I33" s="57">
        <v>1</v>
      </c>
      <c r="J33" s="57">
        <v>0.8</v>
      </c>
      <c r="K33" s="62">
        <v>1</v>
      </c>
      <c r="L33" s="119"/>
      <c r="M33" s="120"/>
      <c r="N33" s="121"/>
    </row>
    <row r="34" spans="2:14" ht="15.95" thickBot="1">
      <c r="B34" s="44" t="s">
        <v>31</v>
      </c>
      <c r="C34" s="55" t="s">
        <v>85</v>
      </c>
      <c r="D34" s="55" t="s">
        <v>85</v>
      </c>
      <c r="E34" s="55" t="s">
        <v>33</v>
      </c>
      <c r="F34" s="55" t="s">
        <v>85</v>
      </c>
      <c r="G34" s="55" t="s">
        <v>85</v>
      </c>
      <c r="H34" s="55" t="s">
        <v>33</v>
      </c>
      <c r="I34" s="55" t="s">
        <v>33</v>
      </c>
      <c r="J34" s="55" t="s">
        <v>85</v>
      </c>
      <c r="K34" s="55" t="s">
        <v>33</v>
      </c>
      <c r="L34" s="119"/>
      <c r="M34" s="120"/>
      <c r="N34" s="121"/>
    </row>
    <row r="35" spans="2:14" ht="31.5" customHeight="1" thickBot="1">
      <c r="B35" s="70" t="s">
        <v>45</v>
      </c>
      <c r="C35" s="71"/>
      <c r="D35" s="71"/>
      <c r="E35" s="71"/>
      <c r="F35" s="71"/>
      <c r="G35" s="71"/>
      <c r="H35" s="71"/>
      <c r="I35" s="71"/>
      <c r="J35" s="71"/>
      <c r="K35" s="71"/>
      <c r="L35" s="71"/>
      <c r="M35" s="71"/>
      <c r="N35" s="72"/>
    </row>
    <row r="36" spans="2:14" ht="19.5" customHeight="1" thickBot="1">
      <c r="B36" s="93" t="s">
        <v>46</v>
      </c>
      <c r="C36" s="94"/>
      <c r="D36" s="94"/>
      <c r="E36" s="94"/>
      <c r="F36" s="94"/>
      <c r="G36" s="94"/>
      <c r="H36" s="94"/>
      <c r="I36" s="95"/>
      <c r="J36" s="17"/>
      <c r="K36" s="94" t="s">
        <v>47</v>
      </c>
      <c r="L36" s="94"/>
      <c r="M36" s="94"/>
      <c r="N36" s="95"/>
    </row>
    <row r="37" spans="2:14" ht="70.5" customHeight="1">
      <c r="B37" s="20" t="s">
        <v>48</v>
      </c>
      <c r="C37" s="122" t="s">
        <v>49</v>
      </c>
      <c r="D37" s="122"/>
      <c r="E37" s="122"/>
      <c r="F37" s="122"/>
      <c r="G37" s="122"/>
      <c r="H37" s="122"/>
      <c r="I37" s="18"/>
      <c r="J37" s="19" t="s">
        <v>48</v>
      </c>
      <c r="K37" s="123" t="s">
        <v>50</v>
      </c>
      <c r="L37" s="123"/>
      <c r="M37" s="123"/>
      <c r="N37" s="124"/>
    </row>
    <row r="38" spans="2:14" ht="60" customHeight="1">
      <c r="B38" s="20" t="s">
        <v>51</v>
      </c>
      <c r="C38" s="125" t="s">
        <v>52</v>
      </c>
      <c r="D38" s="125"/>
      <c r="E38" s="125"/>
      <c r="F38" s="125"/>
      <c r="G38" s="125"/>
      <c r="H38" s="125"/>
      <c r="I38" s="18"/>
      <c r="J38" s="19" t="s">
        <v>51</v>
      </c>
      <c r="K38" s="126" t="s">
        <v>53</v>
      </c>
      <c r="L38" s="126"/>
      <c r="M38" s="126"/>
      <c r="N38" s="127"/>
    </row>
    <row r="39" spans="2:14" ht="96" customHeight="1">
      <c r="B39" s="20" t="s">
        <v>54</v>
      </c>
      <c r="C39" s="125" t="s">
        <v>55</v>
      </c>
      <c r="D39" s="125"/>
      <c r="E39" s="125"/>
      <c r="F39" s="125"/>
      <c r="G39" s="125"/>
      <c r="H39" s="125"/>
      <c r="I39" s="18"/>
      <c r="J39" s="19" t="s">
        <v>54</v>
      </c>
      <c r="K39" s="126" t="s">
        <v>56</v>
      </c>
      <c r="L39" s="126"/>
      <c r="M39" s="126"/>
      <c r="N39" s="127"/>
    </row>
    <row r="40" spans="2:14" ht="60" customHeight="1">
      <c r="B40" s="20" t="s">
        <v>57</v>
      </c>
      <c r="C40" s="125" t="s">
        <v>58</v>
      </c>
      <c r="D40" s="125"/>
      <c r="E40" s="125"/>
      <c r="F40" s="125"/>
      <c r="G40" s="125"/>
      <c r="H40" s="125"/>
      <c r="I40" s="18"/>
      <c r="J40" s="19" t="s">
        <v>57</v>
      </c>
      <c r="K40" s="126" t="s">
        <v>59</v>
      </c>
      <c r="L40" s="126"/>
      <c r="M40" s="126"/>
      <c r="N40" s="127"/>
    </row>
    <row r="41" spans="2:14" ht="87.6" customHeight="1" thickBot="1">
      <c r="B41" s="21" t="s">
        <v>60</v>
      </c>
      <c r="C41" s="128" t="s">
        <v>61</v>
      </c>
      <c r="D41" s="128"/>
      <c r="E41" s="128"/>
      <c r="F41" s="128"/>
      <c r="G41" s="128"/>
      <c r="H41" s="128"/>
      <c r="I41" s="22"/>
      <c r="J41" s="23" t="s">
        <v>60</v>
      </c>
      <c r="K41" s="129" t="s">
        <v>62</v>
      </c>
      <c r="L41" s="129"/>
      <c r="M41" s="129"/>
      <c r="N41" s="130"/>
    </row>
    <row r="42" spans="2:14" ht="21.75" customHeight="1" thickBot="1">
      <c r="B42" s="70" t="s">
        <v>63</v>
      </c>
      <c r="C42" s="71"/>
      <c r="D42" s="71"/>
      <c r="E42" s="71"/>
      <c r="F42" s="71"/>
      <c r="G42" s="71"/>
      <c r="H42" s="71"/>
      <c r="I42" s="71"/>
      <c r="J42" s="71"/>
      <c r="K42" s="71"/>
      <c r="L42" s="71"/>
      <c r="M42" s="71"/>
      <c r="N42" s="72"/>
    </row>
    <row r="43" spans="2:14" ht="15.75" customHeight="1" thickBot="1">
      <c r="B43" s="93" t="s">
        <v>46</v>
      </c>
      <c r="C43" s="94"/>
      <c r="D43" s="94"/>
      <c r="E43" s="94"/>
      <c r="F43" s="94"/>
      <c r="G43" s="94"/>
      <c r="H43" s="94"/>
      <c r="I43" s="95"/>
      <c r="J43" s="93" t="s">
        <v>47</v>
      </c>
      <c r="K43" s="94"/>
      <c r="L43" s="94"/>
      <c r="M43" s="94"/>
      <c r="N43" s="95"/>
    </row>
    <row r="44" spans="2:14" ht="66" customHeight="1">
      <c r="B44" s="20" t="s">
        <v>48</v>
      </c>
      <c r="C44" s="122" t="s">
        <v>64</v>
      </c>
      <c r="D44" s="122"/>
      <c r="E44" s="122"/>
      <c r="F44" s="122"/>
      <c r="G44" s="122"/>
      <c r="H44" s="122"/>
      <c r="I44" s="24"/>
      <c r="J44" s="19" t="s">
        <v>48</v>
      </c>
      <c r="K44" s="123" t="s">
        <v>65</v>
      </c>
      <c r="L44" s="123"/>
      <c r="M44" s="123"/>
      <c r="N44" s="124"/>
    </row>
    <row r="45" spans="2:14" ht="51" customHeight="1">
      <c r="B45" s="20" t="s">
        <v>66</v>
      </c>
      <c r="C45" s="122" t="s">
        <v>67</v>
      </c>
      <c r="D45" s="122"/>
      <c r="E45" s="122"/>
      <c r="F45" s="122"/>
      <c r="G45" s="122"/>
      <c r="H45" s="122"/>
      <c r="I45" s="24"/>
      <c r="J45" s="19" t="s">
        <v>66</v>
      </c>
      <c r="K45" s="126" t="s">
        <v>68</v>
      </c>
      <c r="L45" s="126"/>
      <c r="M45" s="126"/>
      <c r="N45" s="127"/>
    </row>
    <row r="46" spans="2:14" ht="87" customHeight="1" thickBot="1">
      <c r="B46" s="21" t="s">
        <v>54</v>
      </c>
      <c r="C46" s="131" t="s">
        <v>69</v>
      </c>
      <c r="D46" s="131"/>
      <c r="E46" s="131"/>
      <c r="F46" s="131"/>
      <c r="G46" s="131"/>
      <c r="H46" s="131"/>
      <c r="I46" s="25"/>
      <c r="J46" s="23" t="s">
        <v>54</v>
      </c>
      <c r="K46" s="129" t="s">
        <v>70</v>
      </c>
      <c r="L46" s="129"/>
      <c r="M46" s="129"/>
      <c r="N46" s="130"/>
    </row>
    <row r="47" spans="2:14" ht="15.95" thickBot="1">
      <c r="B47" s="138" t="s">
        <v>71</v>
      </c>
      <c r="C47" s="139"/>
      <c r="D47" s="139"/>
      <c r="E47" s="139"/>
      <c r="F47" s="139"/>
      <c r="G47" s="139"/>
      <c r="H47" s="139"/>
      <c r="I47" s="139"/>
      <c r="J47" s="139"/>
      <c r="K47" s="139"/>
      <c r="L47" s="139"/>
      <c r="M47" s="139"/>
      <c r="N47" s="140"/>
    </row>
    <row r="48" spans="2:14" ht="15.95" thickBot="1">
      <c r="B48" s="93" t="s">
        <v>46</v>
      </c>
      <c r="C48" s="94"/>
      <c r="D48" s="94"/>
      <c r="E48" s="94"/>
      <c r="F48" s="94"/>
      <c r="G48" s="94"/>
      <c r="H48" s="94"/>
      <c r="I48" s="95"/>
      <c r="J48" s="93" t="s">
        <v>47</v>
      </c>
      <c r="K48" s="94"/>
      <c r="L48" s="94"/>
      <c r="M48" s="94"/>
      <c r="N48" s="95"/>
    </row>
    <row r="49" spans="2:14" ht="51.75" customHeight="1" thickBot="1">
      <c r="B49" s="26" t="s">
        <v>48</v>
      </c>
      <c r="C49" s="141" t="s">
        <v>72</v>
      </c>
      <c r="D49" s="141"/>
      <c r="E49" s="141"/>
      <c r="F49" s="141"/>
      <c r="G49" s="141"/>
      <c r="H49" s="141"/>
      <c r="I49" s="41"/>
      <c r="J49" s="27"/>
      <c r="K49" s="28" t="s">
        <v>48</v>
      </c>
      <c r="L49" s="141" t="s">
        <v>73</v>
      </c>
      <c r="M49" s="141"/>
      <c r="N49" s="142"/>
    </row>
    <row r="50" spans="2:14">
      <c r="B50" s="29"/>
      <c r="C50" s="58"/>
      <c r="D50" s="58"/>
      <c r="E50" s="58"/>
      <c r="F50" s="58"/>
      <c r="G50" s="58"/>
      <c r="H50" s="30"/>
      <c r="I50" s="30"/>
      <c r="J50" s="30"/>
      <c r="K50" s="30"/>
      <c r="L50" s="30"/>
      <c r="M50" s="30"/>
      <c r="N50" s="31"/>
    </row>
    <row r="51" spans="2:14" ht="30" customHeight="1" thickBot="1">
      <c r="B51" s="32"/>
      <c r="C51" s="59"/>
      <c r="D51" s="59"/>
      <c r="E51" s="59"/>
      <c r="F51" s="59"/>
      <c r="G51" s="59"/>
      <c r="J51" s="33"/>
      <c r="K51" s="33"/>
      <c r="L51" s="33"/>
      <c r="M51" s="143"/>
      <c r="N51" s="144"/>
    </row>
    <row r="52" spans="2:14" ht="15.95" thickTop="1">
      <c r="B52" s="34"/>
      <c r="C52" s="132" t="str">
        <f>C4</f>
        <v>Rodrigo Herrera</v>
      </c>
      <c r="D52" s="132"/>
      <c r="E52" s="132"/>
      <c r="F52" s="132"/>
      <c r="G52" s="60"/>
      <c r="H52" s="35"/>
      <c r="I52" s="35"/>
      <c r="J52" s="35"/>
      <c r="K52" s="35"/>
      <c r="L52" s="36"/>
      <c r="M52" s="133" t="s">
        <v>7</v>
      </c>
      <c r="N52" s="134"/>
    </row>
    <row r="53" spans="2:14" ht="28.5" customHeight="1" thickBot="1">
      <c r="B53" s="37"/>
      <c r="C53" s="135" t="s">
        <v>74</v>
      </c>
      <c r="D53" s="135"/>
      <c r="E53" s="135"/>
      <c r="F53" s="135"/>
      <c r="G53" s="61"/>
      <c r="H53" s="38"/>
      <c r="I53" s="38"/>
      <c r="J53" s="38"/>
      <c r="K53" s="38"/>
      <c r="L53" s="39"/>
      <c r="M53" s="136" t="s">
        <v>75</v>
      </c>
      <c r="N53" s="137"/>
    </row>
  </sheetData>
  <mergeCells count="54">
    <mergeCell ref="C52:F52"/>
    <mergeCell ref="M52:N52"/>
    <mergeCell ref="C53:F53"/>
    <mergeCell ref="M53:N53"/>
    <mergeCell ref="B47:N47"/>
    <mergeCell ref="B48:I48"/>
    <mergeCell ref="J48:N48"/>
    <mergeCell ref="C49:H49"/>
    <mergeCell ref="L49:N49"/>
    <mergeCell ref="M51:N51"/>
    <mergeCell ref="C44:H44"/>
    <mergeCell ref="K44:N44"/>
    <mergeCell ref="C45:H45"/>
    <mergeCell ref="K45:N45"/>
    <mergeCell ref="C46:H46"/>
    <mergeCell ref="K46:N46"/>
    <mergeCell ref="B43:I43"/>
    <mergeCell ref="J43:N43"/>
    <mergeCell ref="C37:H37"/>
    <mergeCell ref="K37:N37"/>
    <mergeCell ref="C38:H38"/>
    <mergeCell ref="K38:N38"/>
    <mergeCell ref="C39:H39"/>
    <mergeCell ref="K39:N39"/>
    <mergeCell ref="C40:H40"/>
    <mergeCell ref="K40:N40"/>
    <mergeCell ref="C41:H41"/>
    <mergeCell ref="K41:N41"/>
    <mergeCell ref="B42:N42"/>
    <mergeCell ref="B36:I36"/>
    <mergeCell ref="K36:N36"/>
    <mergeCell ref="L15:N15"/>
    <mergeCell ref="B16:B17"/>
    <mergeCell ref="L16:N17"/>
    <mergeCell ref="L18:N20"/>
    <mergeCell ref="L21:N21"/>
    <mergeCell ref="L22:N25"/>
    <mergeCell ref="L26:N26"/>
    <mergeCell ref="L27:N30"/>
    <mergeCell ref="L31:N31"/>
    <mergeCell ref="L32:N34"/>
    <mergeCell ref="B35:N35"/>
    <mergeCell ref="B8:N8"/>
    <mergeCell ref="B9:N11"/>
    <mergeCell ref="B12:N12"/>
    <mergeCell ref="B13:N13"/>
    <mergeCell ref="B14:F14"/>
    <mergeCell ref="H14:N14"/>
    <mergeCell ref="J7:L7"/>
    <mergeCell ref="B2:N2"/>
    <mergeCell ref="C4:E4"/>
    <mergeCell ref="J4:L4"/>
    <mergeCell ref="C6:E6"/>
    <mergeCell ref="J6:L6"/>
  </mergeCells>
  <phoneticPr fontId="9" type="noConversion"/>
  <conditionalFormatting sqref="C20:K20">
    <cfRule type="cellIs" dxfId="15" priority="1" operator="equal">
      <formula>"no cumple"</formula>
    </cfRule>
    <cfRule type="cellIs" dxfId="14" priority="2" operator="equal">
      <formula>"cumple"</formula>
    </cfRule>
  </conditionalFormatting>
  <conditionalFormatting sqref="C25:K25">
    <cfRule type="cellIs" dxfId="13" priority="13" operator="equal">
      <formula>"no cumple"</formula>
    </cfRule>
    <cfRule type="cellIs" dxfId="12" priority="14" operator="equal">
      <formula>"cumple"</formula>
    </cfRule>
  </conditionalFormatting>
  <conditionalFormatting sqref="C30:K30">
    <cfRule type="cellIs" dxfId="11" priority="9" operator="equal">
      <formula>"no cumple"</formula>
    </cfRule>
    <cfRule type="cellIs" dxfId="10" priority="10" operator="equal">
      <formula>"cumple"</formula>
    </cfRule>
  </conditionalFormatting>
  <conditionalFormatting sqref="C34:K34">
    <cfRule type="cellIs" dxfId="9" priority="11" operator="equal">
      <formula>"no cumple"</formula>
    </cfRule>
    <cfRule type="cellIs" dxfId="8" priority="12" operator="equal">
      <formula>"cumple"</formula>
    </cfRule>
  </conditionalFormatting>
  <pageMargins left="0" right="0" top="0" bottom="0" header="0.3" footer="0.3"/>
  <pageSetup scale="38"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8484944-781E-4D3A-AD47-03D6877E26A0}">
          <x14:formula1>
            <xm:f>Sheet2!$A$1:$A$53</xm:f>
          </x14:formula1>
          <xm:sqref>C16:K16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0068C-3923-4D1A-90D4-7B72479C1126}">
  <sheetPr>
    <tabColor rgb="FFC00000"/>
  </sheetPr>
  <dimension ref="B1:N53"/>
  <sheetViews>
    <sheetView showGridLines="0" tabSelected="1" topLeftCell="A5" zoomScale="55" zoomScaleNormal="55" workbookViewId="0">
      <selection activeCell="H33" sqref="H33"/>
    </sheetView>
  </sheetViews>
  <sheetFormatPr defaultColWidth="9.140625" defaultRowHeight="15.6"/>
  <cols>
    <col min="1" max="1" width="2" style="11" customWidth="1"/>
    <col min="2" max="2" width="68.85546875" style="11" customWidth="1"/>
    <col min="3" max="7" width="21.5703125" style="48" customWidth="1"/>
    <col min="8" max="12" width="29" style="11" customWidth="1"/>
    <col min="13" max="14" width="17.7109375" style="11" customWidth="1"/>
    <col min="15" max="16384" width="9.140625" style="11"/>
  </cols>
  <sheetData>
    <row r="1" spans="2:14" ht="7.5" customHeight="1" thickBot="1"/>
    <row r="2" spans="2:14" ht="24.75" customHeight="1" thickBot="1">
      <c r="B2" s="70" t="s">
        <v>1</v>
      </c>
      <c r="C2" s="71"/>
      <c r="D2" s="71"/>
      <c r="E2" s="71"/>
      <c r="F2" s="71"/>
      <c r="G2" s="71"/>
      <c r="H2" s="71"/>
      <c r="I2" s="71"/>
      <c r="J2" s="71"/>
      <c r="K2" s="71"/>
      <c r="L2" s="71"/>
      <c r="M2" s="71"/>
      <c r="N2" s="72"/>
    </row>
    <row r="3" spans="2:14">
      <c r="B3" s="12"/>
      <c r="C3" s="49"/>
      <c r="D3" s="49"/>
      <c r="E3" s="49"/>
      <c r="F3" s="49"/>
      <c r="G3" s="49"/>
      <c r="H3" s="13"/>
      <c r="I3" s="13"/>
      <c r="J3" s="13"/>
      <c r="K3" s="13"/>
      <c r="L3" s="13"/>
      <c r="M3" s="13"/>
      <c r="N3" s="14"/>
    </row>
    <row r="4" spans="2:14">
      <c r="B4" s="1" t="s">
        <v>2</v>
      </c>
      <c r="C4" s="73" t="s">
        <v>3</v>
      </c>
      <c r="D4" s="74"/>
      <c r="E4" s="75"/>
      <c r="F4" s="50"/>
      <c r="G4" s="50"/>
      <c r="H4" s="2"/>
      <c r="I4" s="2" t="s">
        <v>4</v>
      </c>
      <c r="J4" s="76" t="s">
        <v>86</v>
      </c>
      <c r="K4" s="77"/>
      <c r="L4" s="78"/>
      <c r="M4" s="43"/>
      <c r="N4" s="4"/>
    </row>
    <row r="5" spans="2:14">
      <c r="B5" s="5"/>
      <c r="C5" s="51"/>
      <c r="D5" s="51"/>
      <c r="E5" s="51"/>
      <c r="F5" s="51"/>
      <c r="G5" s="51"/>
      <c r="H5" s="3"/>
      <c r="I5" s="3"/>
      <c r="J5" s="3"/>
      <c r="K5" s="3"/>
      <c r="L5" s="3"/>
      <c r="M5" s="3"/>
      <c r="N5" s="6"/>
    </row>
    <row r="6" spans="2:14">
      <c r="B6" s="1" t="s">
        <v>6</v>
      </c>
      <c r="C6" s="73" t="s">
        <v>7</v>
      </c>
      <c r="D6" s="74"/>
      <c r="E6" s="75"/>
      <c r="F6" s="52"/>
      <c r="G6" s="52"/>
      <c r="H6" s="3"/>
      <c r="I6" s="2" t="s">
        <v>8</v>
      </c>
      <c r="J6" s="76" t="s">
        <v>87</v>
      </c>
      <c r="K6" s="77"/>
      <c r="L6" s="78"/>
      <c r="M6" s="43"/>
      <c r="N6" s="15"/>
    </row>
    <row r="7" spans="2:14" ht="18" customHeight="1" thickBot="1">
      <c r="B7" s="7"/>
      <c r="C7" s="53"/>
      <c r="D7" s="53"/>
      <c r="E7" s="53"/>
      <c r="F7" s="53"/>
      <c r="G7" s="53"/>
      <c r="H7" s="8"/>
      <c r="I7" s="8"/>
      <c r="J7" s="69"/>
      <c r="K7" s="69"/>
      <c r="L7" s="69"/>
      <c r="M7" s="9"/>
      <c r="N7" s="10"/>
    </row>
    <row r="8" spans="2:14" ht="15.95" thickBot="1">
      <c r="B8" s="70" t="s">
        <v>10</v>
      </c>
      <c r="C8" s="71"/>
      <c r="D8" s="71"/>
      <c r="E8" s="71"/>
      <c r="F8" s="71"/>
      <c r="G8" s="71"/>
      <c r="H8" s="71"/>
      <c r="I8" s="71"/>
      <c r="J8" s="71"/>
      <c r="K8" s="71"/>
      <c r="L8" s="71"/>
      <c r="M8" s="71"/>
      <c r="N8" s="72"/>
    </row>
    <row r="9" spans="2:14">
      <c r="B9" s="79" t="s">
        <v>11</v>
      </c>
      <c r="C9" s="80"/>
      <c r="D9" s="80"/>
      <c r="E9" s="80"/>
      <c r="F9" s="80"/>
      <c r="G9" s="80"/>
      <c r="H9" s="80"/>
      <c r="I9" s="80"/>
      <c r="J9" s="80"/>
      <c r="K9" s="80"/>
      <c r="L9" s="80"/>
      <c r="M9" s="80"/>
      <c r="N9" s="81"/>
    </row>
    <row r="10" spans="2:14">
      <c r="B10" s="82"/>
      <c r="C10" s="83"/>
      <c r="D10" s="83"/>
      <c r="E10" s="83"/>
      <c r="F10" s="83"/>
      <c r="G10" s="83"/>
      <c r="H10" s="83"/>
      <c r="I10" s="83"/>
      <c r="J10" s="83"/>
      <c r="K10" s="83"/>
      <c r="L10" s="83"/>
      <c r="M10" s="83"/>
      <c r="N10" s="84"/>
    </row>
    <row r="11" spans="2:14" ht="70.5" customHeight="1" thickBot="1">
      <c r="B11" s="82"/>
      <c r="C11" s="83"/>
      <c r="D11" s="83"/>
      <c r="E11" s="83"/>
      <c r="F11" s="83"/>
      <c r="G11" s="83"/>
      <c r="H11" s="83"/>
      <c r="I11" s="83"/>
      <c r="J11" s="83"/>
      <c r="K11" s="83"/>
      <c r="L11" s="83"/>
      <c r="M11" s="83"/>
      <c r="N11" s="84"/>
    </row>
    <row r="12" spans="2:14" ht="15.95" thickBot="1">
      <c r="B12" s="70" t="s">
        <v>12</v>
      </c>
      <c r="C12" s="71"/>
      <c r="D12" s="71"/>
      <c r="E12" s="71"/>
      <c r="F12" s="71"/>
      <c r="G12" s="71"/>
      <c r="H12" s="71"/>
      <c r="I12" s="71"/>
      <c r="J12" s="71"/>
      <c r="K12" s="71"/>
      <c r="L12" s="71"/>
      <c r="M12" s="71"/>
      <c r="N12" s="72"/>
    </row>
    <row r="13" spans="2:14" ht="48" customHeight="1" thickBot="1">
      <c r="B13" s="85" t="s">
        <v>13</v>
      </c>
      <c r="C13" s="86"/>
      <c r="D13" s="86"/>
      <c r="E13" s="86"/>
      <c r="F13" s="86"/>
      <c r="G13" s="86"/>
      <c r="H13" s="86"/>
      <c r="I13" s="86"/>
      <c r="J13" s="86"/>
      <c r="K13" s="86"/>
      <c r="L13" s="86"/>
      <c r="M13" s="86"/>
      <c r="N13" s="87"/>
    </row>
    <row r="14" spans="2:14" ht="35.450000000000003" customHeight="1" thickBot="1">
      <c r="B14" s="88" t="s">
        <v>14</v>
      </c>
      <c r="C14" s="89"/>
      <c r="D14" s="89"/>
      <c r="E14" s="89"/>
      <c r="F14" s="89"/>
      <c r="G14" s="47"/>
      <c r="H14" s="90" t="s">
        <v>15</v>
      </c>
      <c r="I14" s="91"/>
      <c r="J14" s="91"/>
      <c r="K14" s="91"/>
      <c r="L14" s="91"/>
      <c r="M14" s="91"/>
      <c r="N14" s="92"/>
    </row>
    <row r="15" spans="2:14">
      <c r="B15" s="42"/>
      <c r="C15" s="54"/>
      <c r="D15" s="54"/>
      <c r="E15" s="54"/>
      <c r="F15" s="54"/>
      <c r="G15" s="54"/>
      <c r="H15" s="16">
        <v>1</v>
      </c>
      <c r="I15" s="16">
        <v>1</v>
      </c>
      <c r="J15" s="16">
        <v>1</v>
      </c>
      <c r="K15" s="16">
        <v>1</v>
      </c>
      <c r="L15" s="96" t="s">
        <v>16</v>
      </c>
      <c r="M15" s="97"/>
      <c r="N15" s="98"/>
    </row>
    <row r="16" spans="2:14" ht="22.5" customHeight="1">
      <c r="B16" s="99" t="s">
        <v>17</v>
      </c>
      <c r="C16" s="46" t="s">
        <v>81</v>
      </c>
      <c r="D16" s="46" t="s">
        <v>82</v>
      </c>
      <c r="E16" s="46" t="s">
        <v>83</v>
      </c>
      <c r="F16" s="46" t="s">
        <v>88</v>
      </c>
      <c r="G16" s="46" t="s">
        <v>89</v>
      </c>
      <c r="H16" s="67" t="s">
        <v>90</v>
      </c>
      <c r="I16" s="67" t="s">
        <v>91</v>
      </c>
      <c r="J16" s="67" t="s">
        <v>92</v>
      </c>
      <c r="K16" s="67" t="s">
        <v>93</v>
      </c>
      <c r="L16" s="101" t="s">
        <v>27</v>
      </c>
      <c r="M16" s="102"/>
      <c r="N16" s="103"/>
    </row>
    <row r="17" spans="2:14" ht="51" customHeight="1">
      <c r="B17" s="100"/>
      <c r="C17" s="46" t="str">
        <f>_xlfn.IFNA(VLOOKUP(C16,Sheet2!$A:$B,2,0),"")</f>
        <v>05 abril 2026 - 11 abril 2026</v>
      </c>
      <c r="D17" s="46" t="str">
        <f>_xlfn.IFNA(VLOOKUP(D16,Sheet2!$A:$B,2,0),"")</f>
        <v>12 abril 2026 - 18 abril 2026</v>
      </c>
      <c r="E17" s="46" t="str">
        <f>_xlfn.IFNA(VLOOKUP(E16,Sheet2!$A:$B,2,0),"")</f>
        <v>19 abril 2026 - 25 abril 2026</v>
      </c>
      <c r="F17" s="46" t="str">
        <f>_xlfn.IFNA(VLOOKUP(F16,Sheet2!$A:$B,2,0),"")</f>
        <v>26 abril 2026 - 02 mayo 2026</v>
      </c>
      <c r="G17" s="46" t="str">
        <f>_xlfn.IFNA(VLOOKUP(G16,Sheet2!$A:$B,2,0),"")</f>
        <v>03 mayo 2026 - 09 mayo 2026</v>
      </c>
      <c r="H17" s="68" t="str">
        <f>_xlfn.IFNA(VLOOKUP(H16,Sheet2!$A:$B,2,0),"")</f>
        <v>10 mayo 2026 - 16 mayo 2026</v>
      </c>
      <c r="I17" s="68" t="str">
        <f>_xlfn.IFNA(VLOOKUP(I16,Sheet2!$A:$B,2,0),"")</f>
        <v>17 mayo 2026 - 23 mayo 2026</v>
      </c>
      <c r="J17" s="68" t="str">
        <f>_xlfn.IFNA(VLOOKUP(J16,Sheet2!$A:$B,2,0),"")</f>
        <v>24 mayo 2026 - 30 mayo 2026</v>
      </c>
      <c r="K17" s="68" t="str">
        <f>_xlfn.IFNA(VLOOKUP(K16,Sheet2!$A:$B,2,0),"")</f>
        <v>31 mayo 2026 - 06 junio 2026</v>
      </c>
      <c r="L17" s="104"/>
      <c r="M17" s="105"/>
      <c r="N17" s="106"/>
    </row>
    <row r="18" spans="2:14">
      <c r="B18" s="44" t="s">
        <v>28</v>
      </c>
      <c r="C18" s="65">
        <v>9.3394207543429939</v>
      </c>
      <c r="D18" s="65">
        <v>9.3112391735682642</v>
      </c>
      <c r="E18" s="65">
        <v>9.4371389075957772</v>
      </c>
      <c r="F18" s="56">
        <v>9.3856883283454362</v>
      </c>
      <c r="G18" s="65">
        <v>9.2908225849647348</v>
      </c>
      <c r="H18" s="65">
        <v>9.4847843810112415</v>
      </c>
      <c r="I18" s="65"/>
      <c r="J18" s="65"/>
      <c r="K18" s="65"/>
      <c r="L18" s="107" t="s">
        <v>29</v>
      </c>
      <c r="M18" s="108"/>
      <c r="N18" s="109"/>
    </row>
    <row r="19" spans="2:14">
      <c r="B19" s="44" t="s">
        <v>30</v>
      </c>
      <c r="C19" s="65">
        <v>9.162401926228382</v>
      </c>
      <c r="D19" s="65">
        <v>9.0633611337440829</v>
      </c>
      <c r="E19" s="65">
        <v>9.5989184317260037</v>
      </c>
      <c r="F19" s="56">
        <v>9.1442414600413997</v>
      </c>
      <c r="G19" s="65">
        <v>9.6305252234841667</v>
      </c>
      <c r="H19" s="65">
        <v>9.5817695171733188</v>
      </c>
      <c r="I19" s="65"/>
      <c r="J19" s="65"/>
      <c r="K19" s="65"/>
      <c r="L19" s="110"/>
      <c r="M19" s="111"/>
      <c r="N19" s="112"/>
    </row>
    <row r="20" spans="2:14" ht="15.95" thickBot="1">
      <c r="B20" s="44" t="s">
        <v>31</v>
      </c>
      <c r="C20" s="55" t="s">
        <v>85</v>
      </c>
      <c r="D20" s="55" t="s">
        <v>85</v>
      </c>
      <c r="E20" s="55" t="s">
        <v>33</v>
      </c>
      <c r="F20" s="55" t="s">
        <v>85</v>
      </c>
      <c r="G20" s="55" t="s">
        <v>33</v>
      </c>
      <c r="H20" s="55" t="s">
        <v>33</v>
      </c>
      <c r="I20" s="55"/>
      <c r="J20" s="55"/>
      <c r="K20" s="55"/>
      <c r="L20" s="110"/>
      <c r="M20" s="111"/>
      <c r="N20" s="112"/>
    </row>
    <row r="21" spans="2:14" ht="53.1" hidden="1" customHeight="1">
      <c r="B21" s="45" t="s">
        <v>34</v>
      </c>
      <c r="C21" s="46" t="str">
        <f t="shared" ref="C21:K21" si="0">C17</f>
        <v>05 abril 2026 - 11 abril 2026</v>
      </c>
      <c r="D21" s="46" t="str">
        <f t="shared" si="0"/>
        <v>12 abril 2026 - 18 abril 2026</v>
      </c>
      <c r="E21" s="46" t="str">
        <f t="shared" si="0"/>
        <v>19 abril 2026 - 25 abril 2026</v>
      </c>
      <c r="F21" s="46" t="str">
        <f t="shared" si="0"/>
        <v>26 abril 2026 - 02 mayo 2026</v>
      </c>
      <c r="G21" s="46" t="str">
        <f t="shared" si="0"/>
        <v>03 mayo 2026 - 09 mayo 2026</v>
      </c>
      <c r="H21" s="68" t="str">
        <f t="shared" si="0"/>
        <v>10 mayo 2026 - 16 mayo 2026</v>
      </c>
      <c r="I21" s="68" t="str">
        <f t="shared" si="0"/>
        <v>17 mayo 2026 - 23 mayo 2026</v>
      </c>
      <c r="J21" s="68" t="str">
        <f t="shared" si="0"/>
        <v>24 mayo 2026 - 30 mayo 2026</v>
      </c>
      <c r="K21" s="68" t="str">
        <f t="shared" si="0"/>
        <v>31 mayo 2026 - 06 junio 2026</v>
      </c>
      <c r="L21" s="113" t="s">
        <v>27</v>
      </c>
      <c r="M21" s="114"/>
      <c r="N21" s="115"/>
    </row>
    <row r="22" spans="2:14" hidden="1">
      <c r="B22" s="44" t="s">
        <v>35</v>
      </c>
      <c r="C22" s="64">
        <v>5.7999999999999996E-3</v>
      </c>
      <c r="D22" s="64">
        <v>5.7999999999999996E-3</v>
      </c>
      <c r="E22" s="64">
        <v>5.7999999999999996E-3</v>
      </c>
      <c r="F22" s="64">
        <v>5.7999999999999996E-3</v>
      </c>
      <c r="G22" s="64"/>
      <c r="H22" s="64"/>
      <c r="I22" s="64"/>
      <c r="J22" s="64"/>
      <c r="K22" s="64"/>
      <c r="L22" s="116" t="s">
        <v>29</v>
      </c>
      <c r="M22" s="117"/>
      <c r="N22" s="118"/>
    </row>
    <row r="23" spans="2:14" hidden="1">
      <c r="B23" s="44" t="s">
        <v>36</v>
      </c>
      <c r="C23" s="64">
        <v>0</v>
      </c>
      <c r="D23" s="64">
        <v>0</v>
      </c>
      <c r="E23" s="64">
        <v>0</v>
      </c>
      <c r="F23" s="64">
        <v>0</v>
      </c>
      <c r="G23" s="64"/>
      <c r="H23" s="64"/>
      <c r="I23" s="64"/>
      <c r="J23" s="64"/>
      <c r="K23" s="64"/>
      <c r="L23" s="119"/>
      <c r="M23" s="120"/>
      <c r="N23" s="121"/>
    </row>
    <row r="24" spans="2:14" hidden="1">
      <c r="B24" s="44" t="s">
        <v>37</v>
      </c>
      <c r="C24" s="55">
        <v>0</v>
      </c>
      <c r="D24" s="55">
        <v>0</v>
      </c>
      <c r="E24" s="55">
        <v>0</v>
      </c>
      <c r="F24" s="55">
        <v>0</v>
      </c>
      <c r="G24" s="55"/>
      <c r="H24" s="55"/>
      <c r="I24" s="55"/>
      <c r="J24" s="55"/>
      <c r="K24" s="55"/>
      <c r="L24" s="119"/>
      <c r="M24" s="120"/>
      <c r="N24" s="121"/>
    </row>
    <row r="25" spans="2:14" ht="15.95" hidden="1" thickBot="1">
      <c r="B25" s="44" t="s">
        <v>31</v>
      </c>
      <c r="C25" s="55" t="s">
        <v>33</v>
      </c>
      <c r="D25" s="55" t="s">
        <v>33</v>
      </c>
      <c r="E25" s="55" t="s">
        <v>33</v>
      </c>
      <c r="F25" s="55" t="s">
        <v>33</v>
      </c>
      <c r="G25" s="55"/>
      <c r="H25" s="55"/>
      <c r="I25" s="55"/>
      <c r="J25" s="55"/>
      <c r="K25" s="55"/>
      <c r="L25" s="119"/>
      <c r="M25" s="120"/>
      <c r="N25" s="121"/>
    </row>
    <row r="26" spans="2:14" ht="48" customHeight="1">
      <c r="B26" s="45" t="s">
        <v>38</v>
      </c>
      <c r="C26" s="46" t="str">
        <f>C17</f>
        <v>05 abril 2026 - 11 abril 2026</v>
      </c>
      <c r="D26" s="46" t="str">
        <f>D17</f>
        <v>12 abril 2026 - 18 abril 2026</v>
      </c>
      <c r="E26" s="46" t="str">
        <f>E17</f>
        <v>19 abril 2026 - 25 abril 2026</v>
      </c>
      <c r="F26" s="46" t="str">
        <f>F17</f>
        <v>26 abril 2026 - 02 mayo 2026</v>
      </c>
      <c r="G26" s="46" t="str">
        <f>G21</f>
        <v>03 mayo 2026 - 09 mayo 2026</v>
      </c>
      <c r="H26" s="68" t="str">
        <f>H17</f>
        <v>10 mayo 2026 - 16 mayo 2026</v>
      </c>
      <c r="I26" s="68" t="str">
        <f>I17</f>
        <v>17 mayo 2026 - 23 mayo 2026</v>
      </c>
      <c r="J26" s="68" t="str">
        <f>J17</f>
        <v>24 mayo 2026 - 30 mayo 2026</v>
      </c>
      <c r="K26" s="68" t="str">
        <f>K17</f>
        <v>31 mayo 2026 - 06 junio 2026</v>
      </c>
      <c r="L26" s="113" t="s">
        <v>27</v>
      </c>
      <c r="M26" s="114"/>
      <c r="N26" s="115"/>
    </row>
    <row r="27" spans="2:14" ht="15.75">
      <c r="B27" s="44" t="s">
        <v>39</v>
      </c>
      <c r="C27" s="63">
        <v>0.02</v>
      </c>
      <c r="D27" s="63">
        <v>0.02</v>
      </c>
      <c r="E27" s="63">
        <v>0.02</v>
      </c>
      <c r="F27" s="63">
        <v>0.02</v>
      </c>
      <c r="G27" s="63">
        <v>0.02</v>
      </c>
      <c r="H27" s="63">
        <v>0.02</v>
      </c>
      <c r="I27" s="63"/>
      <c r="J27" s="63"/>
      <c r="K27" s="63"/>
      <c r="L27" s="116" t="s">
        <v>29</v>
      </c>
      <c r="M27" s="117"/>
      <c r="N27" s="118"/>
    </row>
    <row r="28" spans="2:14" ht="15.75">
      <c r="B28" s="44" t="s">
        <v>40</v>
      </c>
      <c r="C28" s="64">
        <v>0.02</v>
      </c>
      <c r="D28" s="64">
        <v>0</v>
      </c>
      <c r="E28" s="64">
        <v>0</v>
      </c>
      <c r="F28" s="64">
        <v>0</v>
      </c>
      <c r="G28" s="64">
        <v>0.02</v>
      </c>
      <c r="H28" s="64">
        <v>0</v>
      </c>
      <c r="I28" s="64"/>
      <c r="J28" s="64"/>
      <c r="K28" s="64"/>
      <c r="L28" s="119"/>
      <c r="M28" s="120"/>
      <c r="N28" s="121"/>
    </row>
    <row r="29" spans="2:14" ht="15.75">
      <c r="B29" s="44" t="s">
        <v>37</v>
      </c>
      <c r="C29" s="55">
        <v>1</v>
      </c>
      <c r="D29" s="55">
        <v>0</v>
      </c>
      <c r="E29" s="55">
        <v>0</v>
      </c>
      <c r="F29" s="55">
        <v>0</v>
      </c>
      <c r="G29" s="55">
        <v>1</v>
      </c>
      <c r="H29" s="55">
        <v>0</v>
      </c>
      <c r="I29" s="55"/>
      <c r="J29" s="55"/>
      <c r="K29" s="55"/>
      <c r="L29" s="119"/>
      <c r="M29" s="120"/>
      <c r="N29" s="121"/>
    </row>
    <row r="30" spans="2:14" ht="16.5">
      <c r="B30" s="44" t="s">
        <v>31</v>
      </c>
      <c r="C30" s="55" t="s">
        <v>85</v>
      </c>
      <c r="D30" s="55" t="s">
        <v>33</v>
      </c>
      <c r="E30" s="55" t="s">
        <v>33</v>
      </c>
      <c r="F30" s="55" t="s">
        <v>33</v>
      </c>
      <c r="G30" s="55" t="s">
        <v>85</v>
      </c>
      <c r="H30" s="55" t="s">
        <v>94</v>
      </c>
      <c r="I30" s="55"/>
      <c r="J30" s="55"/>
      <c r="K30" s="55"/>
      <c r="L30" s="119"/>
      <c r="M30" s="120"/>
      <c r="N30" s="121"/>
    </row>
    <row r="31" spans="2:14" ht="53.1" customHeight="1">
      <c r="B31" s="45" t="s">
        <v>41</v>
      </c>
      <c r="C31" s="46" t="str">
        <f>C17</f>
        <v>05 abril 2026 - 11 abril 2026</v>
      </c>
      <c r="D31" s="46" t="str">
        <f t="shared" ref="D31:K31" si="1">D17</f>
        <v>12 abril 2026 - 18 abril 2026</v>
      </c>
      <c r="E31" s="46" t="str">
        <f t="shared" si="1"/>
        <v>19 abril 2026 - 25 abril 2026</v>
      </c>
      <c r="F31" s="46" t="str">
        <f t="shared" si="1"/>
        <v>26 abril 2026 - 02 mayo 2026</v>
      </c>
      <c r="G31" s="46" t="str">
        <f t="shared" si="1"/>
        <v>03 mayo 2026 - 09 mayo 2026</v>
      </c>
      <c r="H31" s="68" t="str">
        <f t="shared" si="1"/>
        <v>10 mayo 2026 - 16 mayo 2026</v>
      </c>
      <c r="I31" s="68" t="str">
        <f t="shared" si="1"/>
        <v>17 mayo 2026 - 23 mayo 2026</v>
      </c>
      <c r="J31" s="68" t="str">
        <f t="shared" si="1"/>
        <v>24 mayo 2026 - 30 mayo 2026</v>
      </c>
      <c r="K31" s="68" t="str">
        <f t="shared" si="1"/>
        <v>31 mayo 2026 - 06 junio 2026</v>
      </c>
      <c r="L31" s="113" t="s">
        <v>27</v>
      </c>
      <c r="M31" s="114"/>
      <c r="N31" s="115"/>
    </row>
    <row r="32" spans="2:14">
      <c r="B32" s="44" t="s">
        <v>42</v>
      </c>
      <c r="C32" s="57">
        <v>0.95</v>
      </c>
      <c r="D32" s="57">
        <v>0.95</v>
      </c>
      <c r="E32" s="57">
        <v>0.95</v>
      </c>
      <c r="F32" s="57">
        <v>0.95</v>
      </c>
      <c r="G32" s="57">
        <v>0.95</v>
      </c>
      <c r="H32" s="57">
        <v>0.95</v>
      </c>
      <c r="I32" s="57">
        <v>0.95</v>
      </c>
      <c r="J32" s="57">
        <v>0.95</v>
      </c>
      <c r="K32" s="57">
        <v>0.95</v>
      </c>
      <c r="L32" s="116" t="s">
        <v>29</v>
      </c>
      <c r="M32" s="117"/>
      <c r="N32" s="118"/>
    </row>
    <row r="33" spans="2:14" ht="15.75">
      <c r="B33" s="44" t="s">
        <v>43</v>
      </c>
      <c r="C33" s="57">
        <v>1</v>
      </c>
      <c r="D33" s="57">
        <v>0.8</v>
      </c>
      <c r="E33" s="57">
        <v>1</v>
      </c>
      <c r="F33" s="57">
        <v>0.8</v>
      </c>
      <c r="G33" s="57">
        <v>1</v>
      </c>
      <c r="H33" s="57">
        <v>0.6</v>
      </c>
      <c r="I33" s="57"/>
      <c r="J33" s="57"/>
      <c r="K33" s="62"/>
      <c r="L33" s="119"/>
      <c r="M33" s="120"/>
      <c r="N33" s="121"/>
    </row>
    <row r="34" spans="2:14" ht="16.5">
      <c r="B34" s="44" t="s">
        <v>31</v>
      </c>
      <c r="C34" s="55" t="s">
        <v>33</v>
      </c>
      <c r="D34" s="55" t="s">
        <v>85</v>
      </c>
      <c r="E34" s="55" t="s">
        <v>33</v>
      </c>
      <c r="F34" s="55" t="s">
        <v>85</v>
      </c>
      <c r="G34" s="55" t="s">
        <v>33</v>
      </c>
      <c r="H34" s="55" t="s">
        <v>85</v>
      </c>
      <c r="I34" s="55"/>
      <c r="J34" s="55"/>
      <c r="K34" s="55"/>
      <c r="L34" s="119"/>
      <c r="M34" s="120"/>
      <c r="N34" s="121"/>
    </row>
    <row r="35" spans="2:14" ht="31.5" customHeight="1" thickBot="1">
      <c r="B35" s="70" t="s">
        <v>45</v>
      </c>
      <c r="C35" s="71"/>
      <c r="D35" s="71"/>
      <c r="E35" s="71"/>
      <c r="F35" s="71"/>
      <c r="G35" s="71"/>
      <c r="H35" s="71"/>
      <c r="I35" s="71"/>
      <c r="J35" s="71"/>
      <c r="K35" s="71"/>
      <c r="L35" s="71"/>
      <c r="M35" s="71"/>
      <c r="N35" s="72"/>
    </row>
    <row r="36" spans="2:14" ht="19.5" customHeight="1" thickBot="1">
      <c r="B36" s="93" t="s">
        <v>46</v>
      </c>
      <c r="C36" s="94"/>
      <c r="D36" s="94"/>
      <c r="E36" s="94"/>
      <c r="F36" s="94"/>
      <c r="G36" s="94"/>
      <c r="H36" s="94"/>
      <c r="I36" s="95"/>
      <c r="J36" s="17"/>
      <c r="K36" s="94" t="s">
        <v>47</v>
      </c>
      <c r="L36" s="94"/>
      <c r="M36" s="94"/>
      <c r="N36" s="95"/>
    </row>
    <row r="37" spans="2:14" ht="70.5" customHeight="1">
      <c r="B37" s="20" t="s">
        <v>48</v>
      </c>
      <c r="C37" s="122" t="s">
        <v>49</v>
      </c>
      <c r="D37" s="122"/>
      <c r="E37" s="122"/>
      <c r="F37" s="122"/>
      <c r="G37" s="122"/>
      <c r="H37" s="122"/>
      <c r="I37" s="18"/>
      <c r="J37" s="19" t="s">
        <v>48</v>
      </c>
      <c r="K37" s="123" t="s">
        <v>50</v>
      </c>
      <c r="L37" s="123"/>
      <c r="M37" s="123"/>
      <c r="N37" s="124"/>
    </row>
    <row r="38" spans="2:14" ht="60" customHeight="1">
      <c r="B38" s="20" t="s">
        <v>51</v>
      </c>
      <c r="C38" s="125" t="s">
        <v>52</v>
      </c>
      <c r="D38" s="125"/>
      <c r="E38" s="125"/>
      <c r="F38" s="125"/>
      <c r="G38" s="125"/>
      <c r="H38" s="125"/>
      <c r="I38" s="18"/>
      <c r="J38" s="19" t="s">
        <v>51</v>
      </c>
      <c r="K38" s="126" t="s">
        <v>53</v>
      </c>
      <c r="L38" s="126"/>
      <c r="M38" s="126"/>
      <c r="N38" s="127"/>
    </row>
    <row r="39" spans="2:14" ht="96" customHeight="1">
      <c r="B39" s="20" t="s">
        <v>54</v>
      </c>
      <c r="C39" s="125" t="s">
        <v>55</v>
      </c>
      <c r="D39" s="125"/>
      <c r="E39" s="125"/>
      <c r="F39" s="125"/>
      <c r="G39" s="125"/>
      <c r="H39" s="125"/>
      <c r="I39" s="18"/>
      <c r="J39" s="19" t="s">
        <v>54</v>
      </c>
      <c r="K39" s="126" t="s">
        <v>56</v>
      </c>
      <c r="L39" s="126"/>
      <c r="M39" s="126"/>
      <c r="N39" s="127"/>
    </row>
    <row r="40" spans="2:14" ht="60" customHeight="1">
      <c r="B40" s="20" t="s">
        <v>57</v>
      </c>
      <c r="C40" s="125" t="s">
        <v>58</v>
      </c>
      <c r="D40" s="125"/>
      <c r="E40" s="125"/>
      <c r="F40" s="125"/>
      <c r="G40" s="125"/>
      <c r="H40" s="125"/>
      <c r="I40" s="18"/>
      <c r="J40" s="19" t="s">
        <v>57</v>
      </c>
      <c r="K40" s="126" t="s">
        <v>59</v>
      </c>
      <c r="L40" s="126"/>
      <c r="M40" s="126"/>
      <c r="N40" s="127"/>
    </row>
    <row r="41" spans="2:14" ht="87.6" customHeight="1" thickBot="1">
      <c r="B41" s="21" t="s">
        <v>60</v>
      </c>
      <c r="C41" s="128" t="s">
        <v>61</v>
      </c>
      <c r="D41" s="128"/>
      <c r="E41" s="128"/>
      <c r="F41" s="128"/>
      <c r="G41" s="128"/>
      <c r="H41" s="128"/>
      <c r="I41" s="22"/>
      <c r="J41" s="23" t="s">
        <v>60</v>
      </c>
      <c r="K41" s="129" t="s">
        <v>62</v>
      </c>
      <c r="L41" s="129"/>
      <c r="M41" s="129"/>
      <c r="N41" s="130"/>
    </row>
    <row r="42" spans="2:14" ht="21.75" customHeight="1" thickBot="1">
      <c r="B42" s="70" t="s">
        <v>63</v>
      </c>
      <c r="C42" s="71"/>
      <c r="D42" s="71"/>
      <c r="E42" s="71"/>
      <c r="F42" s="71"/>
      <c r="G42" s="71"/>
      <c r="H42" s="71"/>
      <c r="I42" s="71"/>
      <c r="J42" s="71"/>
      <c r="K42" s="71"/>
      <c r="L42" s="71"/>
      <c r="M42" s="71"/>
      <c r="N42" s="72"/>
    </row>
    <row r="43" spans="2:14" ht="15.75" customHeight="1" thickBot="1">
      <c r="B43" s="93" t="s">
        <v>46</v>
      </c>
      <c r="C43" s="94"/>
      <c r="D43" s="94"/>
      <c r="E43" s="94"/>
      <c r="F43" s="94"/>
      <c r="G43" s="94"/>
      <c r="H43" s="94"/>
      <c r="I43" s="95"/>
      <c r="J43" s="93" t="s">
        <v>47</v>
      </c>
      <c r="K43" s="94"/>
      <c r="L43" s="94"/>
      <c r="M43" s="94"/>
      <c r="N43" s="95"/>
    </row>
    <row r="44" spans="2:14" ht="66" customHeight="1">
      <c r="B44" s="20" t="s">
        <v>48</v>
      </c>
      <c r="C44" s="122" t="s">
        <v>64</v>
      </c>
      <c r="D44" s="122"/>
      <c r="E44" s="122"/>
      <c r="F44" s="122"/>
      <c r="G44" s="122"/>
      <c r="H44" s="122"/>
      <c r="I44" s="24"/>
      <c r="J44" s="19" t="s">
        <v>48</v>
      </c>
      <c r="K44" s="123" t="s">
        <v>65</v>
      </c>
      <c r="L44" s="123"/>
      <c r="M44" s="123"/>
      <c r="N44" s="124"/>
    </row>
    <row r="45" spans="2:14" ht="51" customHeight="1">
      <c r="B45" s="20" t="s">
        <v>66</v>
      </c>
      <c r="C45" s="122" t="s">
        <v>67</v>
      </c>
      <c r="D45" s="122"/>
      <c r="E45" s="122"/>
      <c r="F45" s="122"/>
      <c r="G45" s="122"/>
      <c r="H45" s="122"/>
      <c r="I45" s="24"/>
      <c r="J45" s="19" t="s">
        <v>66</v>
      </c>
      <c r="K45" s="126" t="s">
        <v>68</v>
      </c>
      <c r="L45" s="126"/>
      <c r="M45" s="126"/>
      <c r="N45" s="127"/>
    </row>
    <row r="46" spans="2:14" ht="87" customHeight="1" thickBot="1">
      <c r="B46" s="21" t="s">
        <v>54</v>
      </c>
      <c r="C46" s="131" t="s">
        <v>69</v>
      </c>
      <c r="D46" s="131"/>
      <c r="E46" s="131"/>
      <c r="F46" s="131"/>
      <c r="G46" s="131"/>
      <c r="H46" s="131"/>
      <c r="I46" s="25"/>
      <c r="J46" s="23" t="s">
        <v>54</v>
      </c>
      <c r="K46" s="129" t="s">
        <v>70</v>
      </c>
      <c r="L46" s="129"/>
      <c r="M46" s="129"/>
      <c r="N46" s="130"/>
    </row>
    <row r="47" spans="2:14" ht="15.95" thickBot="1">
      <c r="B47" s="138" t="s">
        <v>71</v>
      </c>
      <c r="C47" s="139"/>
      <c r="D47" s="139"/>
      <c r="E47" s="139"/>
      <c r="F47" s="139"/>
      <c r="G47" s="139"/>
      <c r="H47" s="139"/>
      <c r="I47" s="139"/>
      <c r="J47" s="139"/>
      <c r="K47" s="139"/>
      <c r="L47" s="139"/>
      <c r="M47" s="139"/>
      <c r="N47" s="140"/>
    </row>
    <row r="48" spans="2:14" ht="15.95" thickBot="1">
      <c r="B48" s="93" t="s">
        <v>46</v>
      </c>
      <c r="C48" s="94"/>
      <c r="D48" s="94"/>
      <c r="E48" s="94"/>
      <c r="F48" s="94"/>
      <c r="G48" s="94"/>
      <c r="H48" s="94"/>
      <c r="I48" s="95"/>
      <c r="J48" s="93" t="s">
        <v>47</v>
      </c>
      <c r="K48" s="94"/>
      <c r="L48" s="94"/>
      <c r="M48" s="94"/>
      <c r="N48" s="95"/>
    </row>
    <row r="49" spans="2:14" ht="51.75" customHeight="1" thickBot="1">
      <c r="B49" s="26" t="s">
        <v>48</v>
      </c>
      <c r="C49" s="141" t="s">
        <v>72</v>
      </c>
      <c r="D49" s="141"/>
      <c r="E49" s="141"/>
      <c r="F49" s="141"/>
      <c r="G49" s="141"/>
      <c r="H49" s="141"/>
      <c r="I49" s="41"/>
      <c r="J49" s="27"/>
      <c r="K49" s="28" t="s">
        <v>48</v>
      </c>
      <c r="L49" s="141" t="s">
        <v>73</v>
      </c>
      <c r="M49" s="141"/>
      <c r="N49" s="142"/>
    </row>
    <row r="50" spans="2:14">
      <c r="B50" s="29"/>
      <c r="C50" s="58"/>
      <c r="D50" s="58"/>
      <c r="E50" s="58"/>
      <c r="F50" s="58"/>
      <c r="G50" s="58"/>
      <c r="H50" s="30"/>
      <c r="I50" s="30"/>
      <c r="J50" s="30"/>
      <c r="K50" s="30"/>
      <c r="L50" s="30"/>
      <c r="M50" s="30"/>
      <c r="N50" s="31"/>
    </row>
    <row r="51" spans="2:14" ht="30" customHeight="1" thickBot="1">
      <c r="B51" s="32"/>
      <c r="C51" s="59"/>
      <c r="D51" s="59"/>
      <c r="E51" s="59"/>
      <c r="F51" s="59"/>
      <c r="G51" s="59"/>
      <c r="J51" s="33"/>
      <c r="K51" s="33"/>
      <c r="L51" s="33"/>
      <c r="M51" s="143"/>
      <c r="N51" s="144"/>
    </row>
    <row r="52" spans="2:14" ht="15.95" thickTop="1">
      <c r="B52" s="34"/>
      <c r="C52" s="132" t="str">
        <f>C4</f>
        <v>Rodrigo Herrera</v>
      </c>
      <c r="D52" s="132"/>
      <c r="E52" s="132"/>
      <c r="F52" s="132"/>
      <c r="G52" s="60"/>
      <c r="H52" s="35"/>
      <c r="I52" s="35"/>
      <c r="J52" s="35"/>
      <c r="K52" s="35"/>
      <c r="L52" s="36"/>
      <c r="M52" s="133" t="s">
        <v>7</v>
      </c>
      <c r="N52" s="134"/>
    </row>
    <row r="53" spans="2:14" ht="28.5" customHeight="1" thickBot="1">
      <c r="B53" s="37"/>
      <c r="C53" s="135" t="s">
        <v>74</v>
      </c>
      <c r="D53" s="135"/>
      <c r="E53" s="135"/>
      <c r="F53" s="135"/>
      <c r="G53" s="61"/>
      <c r="H53" s="38"/>
      <c r="I53" s="38"/>
      <c r="J53" s="38"/>
      <c r="K53" s="38"/>
      <c r="L53" s="39"/>
      <c r="M53" s="136" t="s">
        <v>75</v>
      </c>
      <c r="N53" s="137"/>
    </row>
  </sheetData>
  <mergeCells count="54">
    <mergeCell ref="C52:F52"/>
    <mergeCell ref="M52:N52"/>
    <mergeCell ref="C53:F53"/>
    <mergeCell ref="M53:N53"/>
    <mergeCell ref="B47:N47"/>
    <mergeCell ref="B48:I48"/>
    <mergeCell ref="J48:N48"/>
    <mergeCell ref="C49:H49"/>
    <mergeCell ref="L49:N49"/>
    <mergeCell ref="M51:N51"/>
    <mergeCell ref="C44:H44"/>
    <mergeCell ref="K44:N44"/>
    <mergeCell ref="C45:H45"/>
    <mergeCell ref="K45:N45"/>
    <mergeCell ref="C46:H46"/>
    <mergeCell ref="K46:N46"/>
    <mergeCell ref="B43:I43"/>
    <mergeCell ref="J43:N43"/>
    <mergeCell ref="C37:H37"/>
    <mergeCell ref="K37:N37"/>
    <mergeCell ref="C38:H38"/>
    <mergeCell ref="K38:N38"/>
    <mergeCell ref="C39:H39"/>
    <mergeCell ref="K39:N39"/>
    <mergeCell ref="C40:H40"/>
    <mergeCell ref="K40:N40"/>
    <mergeCell ref="C41:H41"/>
    <mergeCell ref="K41:N41"/>
    <mergeCell ref="B42:N42"/>
    <mergeCell ref="B36:I36"/>
    <mergeCell ref="K36:N36"/>
    <mergeCell ref="L15:N15"/>
    <mergeCell ref="B16:B17"/>
    <mergeCell ref="L16:N17"/>
    <mergeCell ref="L18:N20"/>
    <mergeCell ref="L21:N21"/>
    <mergeCell ref="L22:N25"/>
    <mergeCell ref="L26:N26"/>
    <mergeCell ref="L27:N30"/>
    <mergeCell ref="L31:N31"/>
    <mergeCell ref="L32:N34"/>
    <mergeCell ref="B35:N35"/>
    <mergeCell ref="B8:N8"/>
    <mergeCell ref="B9:N11"/>
    <mergeCell ref="B12:N12"/>
    <mergeCell ref="B13:N13"/>
    <mergeCell ref="B14:F14"/>
    <mergeCell ref="H14:N14"/>
    <mergeCell ref="J7:L7"/>
    <mergeCell ref="B2:N2"/>
    <mergeCell ref="C4:E4"/>
    <mergeCell ref="J4:L4"/>
    <mergeCell ref="C6:E6"/>
    <mergeCell ref="J6:L6"/>
  </mergeCells>
  <phoneticPr fontId="9" type="noConversion"/>
  <conditionalFormatting sqref="C20:K20">
    <cfRule type="cellIs" dxfId="7" priority="5" operator="equal">
      <formula>"no cumple"</formula>
    </cfRule>
    <cfRule type="cellIs" dxfId="6" priority="6" operator="equal">
      <formula>"cumple"</formula>
    </cfRule>
  </conditionalFormatting>
  <conditionalFormatting sqref="C25:K25">
    <cfRule type="cellIs" dxfId="5" priority="13" operator="equal">
      <formula>"no cumple"</formula>
    </cfRule>
    <cfRule type="cellIs" dxfId="4" priority="14" operator="equal">
      <formula>"cumple"</formula>
    </cfRule>
  </conditionalFormatting>
  <conditionalFormatting sqref="C30:K30">
    <cfRule type="cellIs" dxfId="3" priority="1" operator="equal">
      <formula>"no cumple"</formula>
    </cfRule>
    <cfRule type="cellIs" dxfId="2" priority="2" operator="equal">
      <formula>"cumple"</formula>
    </cfRule>
  </conditionalFormatting>
  <conditionalFormatting sqref="C34:K34">
    <cfRule type="cellIs" dxfId="1" priority="11" operator="equal">
      <formula>"no cumple"</formula>
    </cfRule>
    <cfRule type="cellIs" dxfId="0" priority="12" operator="equal">
      <formula>"cumple"</formula>
    </cfRule>
  </conditionalFormatting>
  <pageMargins left="0" right="0" top="0" bottom="0" header="0.3" footer="0.3"/>
  <pageSetup scale="38"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2DD1694-8178-43D3-9509-95D43F75E4BE}">
          <x14:formula1>
            <xm:f>Sheet2!$A$1:$A$53</xm:f>
          </x14:formula1>
          <xm:sqref>C16:K16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171C8-A53E-421D-8A53-B351485A2642}">
  <dimension ref="A1:B53"/>
  <sheetViews>
    <sheetView workbookViewId="0">
      <selection activeCell="C1" sqref="C1:I1048576"/>
    </sheetView>
  </sheetViews>
  <sheetFormatPr defaultColWidth="8.7109375" defaultRowHeight="14.45"/>
  <cols>
    <col min="1" max="1" width="15.5703125" style="40" bestFit="1" customWidth="1"/>
    <col min="2" max="2" width="35.5703125" style="40" bestFit="1" customWidth="1"/>
    <col min="3" max="16384" width="8.7109375" style="40"/>
  </cols>
  <sheetData>
    <row r="1" spans="1:2">
      <c r="A1" s="40" t="s">
        <v>95</v>
      </c>
      <c r="B1" s="40" t="s">
        <v>96</v>
      </c>
    </row>
    <row r="2" spans="1:2">
      <c r="A2" s="40" t="s">
        <v>97</v>
      </c>
      <c r="B2" s="40" t="s">
        <v>98</v>
      </c>
    </row>
    <row r="3" spans="1:2">
      <c r="A3" s="40" t="s">
        <v>18</v>
      </c>
      <c r="B3" s="40" t="s">
        <v>99</v>
      </c>
    </row>
    <row r="4" spans="1:2">
      <c r="A4" s="40" t="s">
        <v>19</v>
      </c>
      <c r="B4" s="40" t="s">
        <v>100</v>
      </c>
    </row>
    <row r="5" spans="1:2">
      <c r="A5" s="40" t="s">
        <v>20</v>
      </c>
      <c r="B5" s="40" t="s">
        <v>101</v>
      </c>
    </row>
    <row r="6" spans="1:2">
      <c r="A6" s="40" t="s">
        <v>21</v>
      </c>
      <c r="B6" s="40" t="s">
        <v>102</v>
      </c>
    </row>
    <row r="7" spans="1:2">
      <c r="A7" s="40" t="s">
        <v>22</v>
      </c>
      <c r="B7" s="40" t="s">
        <v>103</v>
      </c>
    </row>
    <row r="8" spans="1:2">
      <c r="A8" s="40" t="s">
        <v>23</v>
      </c>
      <c r="B8" s="40" t="s">
        <v>104</v>
      </c>
    </row>
    <row r="9" spans="1:2">
      <c r="A9" s="40" t="s">
        <v>24</v>
      </c>
      <c r="B9" s="40" t="s">
        <v>105</v>
      </c>
    </row>
    <row r="10" spans="1:2">
      <c r="A10" s="40" t="s">
        <v>25</v>
      </c>
      <c r="B10" s="40" t="s">
        <v>106</v>
      </c>
    </row>
    <row r="11" spans="1:2">
      <c r="A11" s="40" t="s">
        <v>26</v>
      </c>
      <c r="B11" s="40" t="s">
        <v>107</v>
      </c>
    </row>
    <row r="12" spans="1:2">
      <c r="A12" s="40" t="s">
        <v>78</v>
      </c>
      <c r="B12" s="40" t="s">
        <v>108</v>
      </c>
    </row>
    <row r="13" spans="1:2">
      <c r="A13" s="40" t="s">
        <v>79</v>
      </c>
      <c r="B13" s="40" t="s">
        <v>109</v>
      </c>
    </row>
    <row r="14" spans="1:2">
      <c r="A14" s="40" t="s">
        <v>80</v>
      </c>
      <c r="B14" s="40" t="s">
        <v>110</v>
      </c>
    </row>
    <row r="15" spans="1:2">
      <c r="A15" s="40" t="s">
        <v>81</v>
      </c>
      <c r="B15" s="40" t="s">
        <v>111</v>
      </c>
    </row>
    <row r="16" spans="1:2">
      <c r="A16" s="40" t="s">
        <v>82</v>
      </c>
      <c r="B16" s="40" t="s">
        <v>112</v>
      </c>
    </row>
    <row r="17" spans="1:2">
      <c r="A17" s="40" t="s">
        <v>83</v>
      </c>
      <c r="B17" s="40" t="s">
        <v>113</v>
      </c>
    </row>
    <row r="18" spans="1:2">
      <c r="A18" s="40" t="s">
        <v>88</v>
      </c>
      <c r="B18" s="40" t="s">
        <v>114</v>
      </c>
    </row>
    <row r="19" spans="1:2">
      <c r="A19" s="40" t="s">
        <v>89</v>
      </c>
      <c r="B19" s="40" t="s">
        <v>115</v>
      </c>
    </row>
    <row r="20" spans="1:2">
      <c r="A20" s="40" t="s">
        <v>90</v>
      </c>
      <c r="B20" s="40" t="s">
        <v>116</v>
      </c>
    </row>
    <row r="21" spans="1:2">
      <c r="A21" s="40" t="s">
        <v>91</v>
      </c>
      <c r="B21" s="40" t="s">
        <v>117</v>
      </c>
    </row>
    <row r="22" spans="1:2">
      <c r="A22" s="40" t="s">
        <v>92</v>
      </c>
      <c r="B22" s="40" t="s">
        <v>118</v>
      </c>
    </row>
    <row r="23" spans="1:2">
      <c r="A23" s="40" t="s">
        <v>93</v>
      </c>
      <c r="B23" s="40" t="s">
        <v>119</v>
      </c>
    </row>
    <row r="24" spans="1:2">
      <c r="A24" s="40" t="s">
        <v>120</v>
      </c>
      <c r="B24" s="40" t="s">
        <v>121</v>
      </c>
    </row>
    <row r="25" spans="1:2">
      <c r="A25" s="40" t="s">
        <v>122</v>
      </c>
      <c r="B25" s="40" t="s">
        <v>123</v>
      </c>
    </row>
    <row r="26" spans="1:2">
      <c r="A26" s="40" t="s">
        <v>124</v>
      </c>
      <c r="B26" s="40" t="s">
        <v>125</v>
      </c>
    </row>
    <row r="27" spans="1:2">
      <c r="A27" s="40" t="s">
        <v>126</v>
      </c>
      <c r="B27" s="40" t="s">
        <v>127</v>
      </c>
    </row>
    <row r="28" spans="1:2">
      <c r="A28" s="40" t="s">
        <v>128</v>
      </c>
      <c r="B28" s="40" t="s">
        <v>129</v>
      </c>
    </row>
    <row r="29" spans="1:2">
      <c r="A29" s="40" t="s">
        <v>130</v>
      </c>
      <c r="B29" s="40" t="s">
        <v>131</v>
      </c>
    </row>
    <row r="30" spans="1:2">
      <c r="A30" s="40" t="s">
        <v>132</v>
      </c>
      <c r="B30" s="40" t="s">
        <v>133</v>
      </c>
    </row>
    <row r="31" spans="1:2">
      <c r="A31" s="40" t="s">
        <v>134</v>
      </c>
      <c r="B31" s="40" t="s">
        <v>135</v>
      </c>
    </row>
    <row r="32" spans="1:2">
      <c r="A32" s="40" t="s">
        <v>136</v>
      </c>
      <c r="B32" s="40" t="s">
        <v>137</v>
      </c>
    </row>
    <row r="33" spans="1:2">
      <c r="A33" s="40" t="s">
        <v>138</v>
      </c>
      <c r="B33" s="40" t="s">
        <v>139</v>
      </c>
    </row>
    <row r="34" spans="1:2">
      <c r="A34" s="40" t="s">
        <v>140</v>
      </c>
      <c r="B34" s="40" t="s">
        <v>141</v>
      </c>
    </row>
    <row r="35" spans="1:2">
      <c r="A35" s="40" t="s">
        <v>142</v>
      </c>
      <c r="B35" s="40" t="s">
        <v>143</v>
      </c>
    </row>
    <row r="36" spans="1:2">
      <c r="A36" s="40" t="s">
        <v>144</v>
      </c>
      <c r="B36" s="40" t="s">
        <v>145</v>
      </c>
    </row>
    <row r="37" spans="1:2">
      <c r="A37" s="40" t="s">
        <v>146</v>
      </c>
      <c r="B37" s="40" t="s">
        <v>147</v>
      </c>
    </row>
    <row r="38" spans="1:2">
      <c r="A38" s="40" t="s">
        <v>148</v>
      </c>
      <c r="B38" s="40" t="s">
        <v>149</v>
      </c>
    </row>
    <row r="39" spans="1:2">
      <c r="A39" s="40" t="s">
        <v>150</v>
      </c>
      <c r="B39" s="40" t="s">
        <v>151</v>
      </c>
    </row>
    <row r="40" spans="1:2">
      <c r="A40" s="40" t="s">
        <v>152</v>
      </c>
      <c r="B40" s="40" t="s">
        <v>153</v>
      </c>
    </row>
    <row r="41" spans="1:2">
      <c r="A41" s="40" t="s">
        <v>154</v>
      </c>
      <c r="B41" s="40" t="s">
        <v>155</v>
      </c>
    </row>
    <row r="42" spans="1:2">
      <c r="A42" s="40" t="s">
        <v>156</v>
      </c>
      <c r="B42" s="40" t="s">
        <v>157</v>
      </c>
    </row>
    <row r="43" spans="1:2">
      <c r="A43" s="40" t="s">
        <v>158</v>
      </c>
      <c r="B43" s="40" t="s">
        <v>159</v>
      </c>
    </row>
    <row r="44" spans="1:2">
      <c r="A44" s="40" t="s">
        <v>160</v>
      </c>
      <c r="B44" s="40" t="s">
        <v>161</v>
      </c>
    </row>
    <row r="45" spans="1:2">
      <c r="A45" s="40" t="s">
        <v>162</v>
      </c>
      <c r="B45" s="40" t="s">
        <v>163</v>
      </c>
    </row>
    <row r="46" spans="1:2">
      <c r="A46" s="40" t="s">
        <v>164</v>
      </c>
      <c r="B46" s="40" t="s">
        <v>165</v>
      </c>
    </row>
    <row r="47" spans="1:2">
      <c r="A47" s="40" t="s">
        <v>166</v>
      </c>
      <c r="B47" s="40" t="s">
        <v>167</v>
      </c>
    </row>
    <row r="48" spans="1:2">
      <c r="A48" s="40" t="s">
        <v>168</v>
      </c>
      <c r="B48" s="40" t="s">
        <v>169</v>
      </c>
    </row>
    <row r="49" spans="1:2">
      <c r="A49" s="40" t="s">
        <v>170</v>
      </c>
      <c r="B49" s="40" t="s">
        <v>171</v>
      </c>
    </row>
    <row r="50" spans="1:2">
      <c r="A50" s="40" t="s">
        <v>172</v>
      </c>
      <c r="B50" s="40" t="s">
        <v>173</v>
      </c>
    </row>
    <row r="51" spans="1:2">
      <c r="A51" s="40" t="s">
        <v>174</v>
      </c>
      <c r="B51" s="40" t="s">
        <v>175</v>
      </c>
    </row>
    <row r="52" spans="1:2">
      <c r="A52" s="40" t="s">
        <v>176</v>
      </c>
      <c r="B52" s="40" t="s">
        <v>177</v>
      </c>
    </row>
    <row r="53" spans="1:2">
      <c r="A53" s="40" t="s">
        <v>178</v>
      </c>
      <c r="B53" s="40" t="s">
        <v>179</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Amazon Corporate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Antonio Demetry, Sharon Wanda Mastmuth</dc:creator>
  <cp:keywords/>
  <dc:description/>
  <cp:lastModifiedBy/>
  <cp:revision/>
  <dcterms:created xsi:type="dcterms:W3CDTF">2017-11-12T21:33:08Z</dcterms:created>
  <dcterms:modified xsi:type="dcterms:W3CDTF">2026-05-22T22:30:28Z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2025-08-19T22:52:25Z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a5271e93-9f0f-453b-8aa9-5808b2a5a776</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